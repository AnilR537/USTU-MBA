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Skilltech-April-2026\Review-MIS\"/>
    </mc:Choice>
  </mc:AlternateContent>
  <xr:revisionPtr revIDLastSave="0" documentId="13_ncr:1_{0E344147-B204-4FEF-8BBD-F8155B070138}" xr6:coauthVersionLast="47" xr6:coauthVersionMax="47" xr10:uidLastSave="{00000000-0000-0000-0000-000000000000}"/>
  <bookViews>
    <workbookView xWindow="-110" yWindow="-110" windowWidth="19420" windowHeight="11500" tabRatio="743" activeTab="2" xr2:uid="{627D0790-3561-4C65-9A61-A836F327595B}"/>
  </bookViews>
  <sheets>
    <sheet name="Sheet1" sheetId="1" r:id="rId1"/>
    <sheet name="USTU-KPMG-Split" sheetId="2" r:id="rId2"/>
    <sheet name="Program" sheetId="3" r:id="rId3"/>
    <sheet name="Sheet5" sheetId="7" r:id="rId4"/>
    <sheet name="Sheet4" sheetId="4" r:id="rId5"/>
    <sheet name="Follow Up Actions" sheetId="5" r:id="rId6"/>
    <sheet name="Sheet2" sheetId="6" r:id="rId7"/>
    <sheet name="Sheet3" sheetId="8" r:id="rId8"/>
  </sheets>
  <definedNames>
    <definedName name="_xlnm._FilterDatabase" localSheetId="2" hidden="1">Program!$A$1:$DK$135</definedName>
    <definedName name="_xlnm._FilterDatabase" localSheetId="1" hidden="1">'USTU-KPMG-Split'!$A$2:$J$51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1" i="2" l="1"/>
  <c r="D5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01" authorId="0" shapeId="0" xr:uid="{3534AB3A-1DDE-4271-993F-DDABFB44992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Introduce organization &amp; high-level value proposition
Check intent / permission to continue
Understand candidate background
Understand aspirations / goals
Position yourself as advisor
Map aspirations to offering
Help build decision criteria
Address concerns objectively
Move toward trusted CTA / enrolment decision
---------------------
DISCOVER
Introduce institution + establish context
DIAGNOSE
Understand profile, aspirations, constraints
ADVISE
Guide candidate objectively
ALIGN
Map needs to program fit + decision matrix
DECIDE
CTA toward application / admission</t>
        </r>
      </text>
    </comment>
  </commentList>
</comments>
</file>

<file path=xl/sharedStrings.xml><?xml version="1.0" encoding="utf-8"?>
<sst xmlns="http://schemas.openxmlformats.org/spreadsheetml/2006/main" count="497" uniqueCount="318">
  <si>
    <t>Knowledge Map</t>
  </si>
  <si>
    <t>Behaviours/Attitude</t>
  </si>
  <si>
    <t>Conceptual Finance Knowledge</t>
  </si>
  <si>
    <t>Valuation methods</t>
  </si>
  <si>
    <t>Capital budgeting frameworks</t>
  </si>
  <si>
    <t>Financial statement analysis</t>
  </si>
  <si>
    <t>Analytical &amp; Research Knowledge</t>
  </si>
  <si>
    <t>Data interpretation</t>
  </si>
  <si>
    <t>Structured problem frameworks</t>
  </si>
  <si>
    <t>Hypothesis-driven thinking</t>
  </si>
  <si>
    <t>Strategic Context Knowledge</t>
  </si>
  <si>
    <t>Corporate strategy basics</t>
  </si>
  <si>
    <t>Market/industry understanding</t>
  </si>
  <si>
    <t>Decision-making under uncertainty</t>
  </si>
  <si>
    <t>Skills (Applied)/must be able to do</t>
  </si>
  <si>
    <t>Financial modeling</t>
  </si>
  <si>
    <t>Risk-return analysis</t>
  </si>
  <si>
    <t>Scenario building</t>
  </si>
  <si>
    <t>Analytical Skills</t>
  </si>
  <si>
    <t>Cognitive Behaviours</t>
  </si>
  <si>
    <t>Critical thinking</t>
  </si>
  <si>
    <t>Structured thinking</t>
  </si>
  <si>
    <t>Curiosity-driven inquiry</t>
  </si>
  <si>
    <t>Execution Mindset</t>
  </si>
  <si>
    <t>Ownership of outcomes</t>
  </si>
  <si>
    <t>Bias for action</t>
  </si>
  <si>
    <t>Resilience in ambiguity</t>
  </si>
  <si>
    <t>Collaboration &amp; Leadership</t>
  </si>
  <si>
    <t>Influencing without authority</t>
  </si>
  <si>
    <t>Stakeholder alignment</t>
  </si>
  <si>
    <t>Accountability in teams</t>
  </si>
  <si>
    <t>Ethical Orientation</t>
  </si>
  <si>
    <t>Integrity in decisions</t>
  </si>
  <si>
    <t>Responsible financial judgment</t>
  </si>
  <si>
    <t>Adaptability</t>
  </si>
  <si>
    <t>Learning agility</t>
  </si>
  <si>
    <t>Comfort with uncertainty</t>
  </si>
  <si>
    <t>Decision-Making Skills</t>
  </si>
  <si>
    <t>Investment evaluation</t>
  </si>
  <si>
    <t>Strategic trade-off analysis</t>
  </si>
  <si>
    <t>Resource allocation</t>
  </si>
  <si>
    <t>Execution Skills</t>
  </si>
  <si>
    <t>Applying theory to real cases</t>
  </si>
  <si>
    <t>Building models (Excel/Python)</t>
  </si>
  <si>
    <t>Creating dashboards (Power BI/Tableau)</t>
  </si>
  <si>
    <t>Communication Skills</t>
  </si>
  <si>
    <t>Executive summaries</t>
  </si>
  <si>
    <t>Data storytelling</t>
  </si>
  <si>
    <t>Persuasive presentations</t>
  </si>
  <si>
    <t>Skills Development Map</t>
  </si>
  <si>
    <t xml:space="preserve">PEDAGOGY </t>
  </si>
  <si>
    <t>Level 0</t>
  </si>
  <si>
    <t>Level 1</t>
  </si>
  <si>
    <t>Level 3</t>
  </si>
  <si>
    <t>Level-3</t>
  </si>
  <si>
    <t>Level-4</t>
  </si>
  <si>
    <t>Level-5</t>
  </si>
  <si>
    <t>Tool/Frameworks</t>
  </si>
  <si>
    <t>Design Thinking</t>
  </si>
  <si>
    <t>Dual loop Design</t>
  </si>
  <si>
    <t xml:space="preserve">Backward design </t>
  </si>
  <si>
    <t xml:space="preserve">Thought Calrity Frameworks </t>
  </si>
  <si>
    <t xml:space="preserve">Capstone Projects </t>
  </si>
  <si>
    <t>OJT</t>
  </si>
  <si>
    <r>
      <rPr>
        <b/>
        <sz val="18"/>
        <color theme="1"/>
        <rFont val="Aptos Narrow"/>
        <family val="2"/>
        <scheme val="minor"/>
      </rPr>
      <t>Capability demonstration is</t>
    </r>
    <r>
      <rPr>
        <sz val="18"/>
        <color theme="1"/>
        <rFont val="Aptos Narrow"/>
        <family val="2"/>
        <scheme val="minor"/>
      </rPr>
      <t xml:space="preserve"> the observable ability to apply knowledge and skills to deliver meaningful business outcomes under real-world conditions—characterized by ambiguity, collaboration, and sound judgment.</t>
    </r>
  </si>
  <si>
    <r>
      <rPr>
        <b/>
        <sz val="18"/>
        <color theme="1"/>
        <rFont val="Aptos Narrow"/>
        <family val="2"/>
        <scheme val="minor"/>
      </rPr>
      <t xml:space="preserve">Pedagogy </t>
    </r>
    <r>
      <rPr>
        <sz val="18"/>
        <color theme="1"/>
        <rFont val="Aptos Narrow"/>
        <family val="2"/>
        <scheme val="minor"/>
      </rPr>
      <t>is the</t>
    </r>
    <r>
      <rPr>
        <b/>
        <sz val="18"/>
        <color theme="1"/>
        <rFont val="Aptos Narrow"/>
        <family val="2"/>
        <scheme val="minor"/>
      </rPr>
      <t xml:space="preserve"> design, delivery, and continuous evaluation </t>
    </r>
    <r>
      <rPr>
        <sz val="18"/>
        <color theme="1"/>
        <rFont val="Aptos Narrow"/>
        <family val="2"/>
        <scheme val="minor"/>
      </rPr>
      <t xml:space="preserve">of the complete </t>
    </r>
    <r>
      <rPr>
        <b/>
        <sz val="18"/>
        <color theme="1"/>
        <rFont val="Aptos Narrow"/>
        <family val="2"/>
        <scheme val="minor"/>
      </rPr>
      <t xml:space="preserve">learning and capability development experience </t>
    </r>
    <r>
      <rPr>
        <sz val="18"/>
        <color theme="1"/>
        <rFont val="Aptos Narrow"/>
        <family val="2"/>
        <scheme val="minor"/>
      </rPr>
      <t>a learner goes through.</t>
    </r>
  </si>
  <si>
    <t>KPMG</t>
  </si>
  <si>
    <t>USTU</t>
  </si>
  <si>
    <t>Corporate Finance &amp; Value Creation</t>
  </si>
  <si>
    <t>Program Execution Plan</t>
  </si>
  <si>
    <t>Program Execution Update</t>
  </si>
  <si>
    <t>Online application process on Merito progressing as planned; on track for go-live on 9th May.</t>
  </si>
  <si>
    <r>
      <t>BOS Review &amp; Approval</t>
    </r>
    <r>
      <rPr>
        <sz val="16"/>
        <color theme="1"/>
        <rFont val="Aptos Narrow"/>
        <family val="2"/>
        <scheme val="minor"/>
      </rPr>
      <t xml:space="preserve"> for MBA FY commencement and course structure — </t>
    </r>
    <r>
      <rPr>
        <b/>
        <sz val="16"/>
        <color theme="1"/>
        <rFont val="Aptos Narrow"/>
        <family val="2"/>
        <scheme val="minor"/>
      </rPr>
      <t>Completed</t>
    </r>
  </si>
  <si>
    <r>
      <t>Trimester 1 Course Content Design</t>
    </r>
    <r>
      <rPr>
        <sz val="16"/>
        <color theme="1"/>
        <rFont val="Aptos Narrow"/>
        <family val="2"/>
        <scheme val="minor"/>
      </rPr>
      <t xml:space="preserve"> — </t>
    </r>
    <r>
      <rPr>
        <b/>
        <sz val="16"/>
        <color theme="1"/>
        <rFont val="Aptos Narrow"/>
        <family val="2"/>
        <scheme val="minor"/>
      </rPr>
      <t>Initiated</t>
    </r>
  </si>
  <si>
    <r>
      <t>Student Intake Process &amp; SOP Finalization</t>
    </r>
    <r>
      <rPr>
        <sz val="16"/>
        <color theme="1"/>
        <rFont val="Aptos Narrow"/>
        <family val="2"/>
        <scheme val="minor"/>
      </rPr>
      <t xml:space="preserve"> (Aptitude, GD, Case, PI) — </t>
    </r>
    <r>
      <rPr>
        <b/>
        <sz val="16"/>
        <color theme="1"/>
        <rFont val="Aptos Narrow"/>
        <family val="2"/>
        <scheme val="minor"/>
      </rPr>
      <t>In Progress</t>
    </r>
  </si>
  <si>
    <r>
      <t>Student Onboarding &amp; Readiness Track</t>
    </r>
    <r>
      <rPr>
        <sz val="16"/>
        <color theme="1"/>
        <rFont val="Aptos Narrow"/>
        <family val="2"/>
        <scheme val="minor"/>
      </rPr>
      <t xml:space="preserve"> (Primer Courses + Kognit AI Knowledge System) — </t>
    </r>
    <r>
      <rPr>
        <b/>
        <sz val="16"/>
        <color theme="1"/>
        <rFont val="Aptos Narrow"/>
        <family val="2"/>
        <scheme val="minor"/>
      </rPr>
      <t>In Progress</t>
    </r>
  </si>
  <si>
    <r>
      <t>Pedagogy Overview  with KPMG</t>
    </r>
    <r>
      <rPr>
        <sz val="16"/>
        <color theme="1"/>
        <rFont val="Aptos Narrow"/>
        <family val="2"/>
        <scheme val="minor"/>
      </rPr>
      <t xml:space="preserve"> (lecture content + experiential case-based approach) — </t>
    </r>
    <r>
      <rPr>
        <b/>
        <sz val="16"/>
        <color theme="1"/>
        <rFont val="Aptos Narrow"/>
        <family val="2"/>
        <scheme val="minor"/>
      </rPr>
      <t>Completed</t>
    </r>
  </si>
  <si>
    <t>Design of the in-class experiential pedagogy approach initiated. ( AI Simulations )</t>
  </si>
  <si>
    <t xml:space="preserve">A Detailed  Program Execution Plan in Progress, will be in place 15th May </t>
  </si>
  <si>
    <t>Primer Course Content Sourcing, Cataloguing, and Deployment</t>
  </si>
  <si>
    <t>Kognito AI – Knowledge Expert Design and Deployment</t>
  </si>
  <si>
    <t>Faculty Onboarding and Readiness Track</t>
  </si>
  <si>
    <t>Technology Infrastructure</t>
  </si>
  <si>
    <t>BOS Review</t>
  </si>
  <si>
    <t>BOS Approval for Commencement and Course Structure (FY MBA)</t>
  </si>
  <si>
    <t>Academic Board Review</t>
  </si>
  <si>
    <t>Status</t>
  </si>
  <si>
    <t xml:space="preserve">ECD </t>
  </si>
  <si>
    <t xml:space="preserve">Risk/Mitigation/Action  </t>
  </si>
  <si>
    <t xml:space="preserve">Deployment of Primer Courses under USTU Repository </t>
  </si>
  <si>
    <t xml:space="preserve">Key Millstones </t>
  </si>
  <si>
    <t xml:space="preserve">Networking Opportunities </t>
  </si>
  <si>
    <t>Responsibility</t>
  </si>
  <si>
    <t>Trimester</t>
  </si>
  <si>
    <t>Course Title</t>
  </si>
  <si>
    <t xml:space="preserve">Category </t>
  </si>
  <si>
    <t>Course Credits with 
SCE Specialisation</t>
  </si>
  <si>
    <t>Course Credits with 
BA Specialisation</t>
  </si>
  <si>
    <t>Delivered By</t>
  </si>
  <si>
    <t>Global Immersion Program</t>
  </si>
  <si>
    <t>Signature Experience</t>
  </si>
  <si>
    <t>-</t>
  </si>
  <si>
    <t>Strategic Consulting Frameworks &amp; Problem Solving</t>
  </si>
  <si>
    <t>Core</t>
  </si>
  <si>
    <t>Global Economics for Strategic Decision-Making</t>
  </si>
  <si>
    <t>Operations Excellence &amp; Supply Chain Resilience</t>
  </si>
  <si>
    <t>Marketing, Brand &amp; Customer Strategy (MarTech strat, data and execution focus)</t>
  </si>
  <si>
    <t>Organizational Behavior &amp; Leadership in Teams</t>
  </si>
  <si>
    <t>Competitive Strategy &amp; Game Theory</t>
  </si>
  <si>
    <t>Business Research &amp; Analytics for Consultants</t>
  </si>
  <si>
    <t>Digital Transformation &amp; Applied AI for Business Leaders</t>
  </si>
  <si>
    <t>Behavioral Science for Strategy &amp; Execution</t>
  </si>
  <si>
    <t>Storytelling, Influence &amp; Stakeholder Management</t>
  </si>
  <si>
    <t>Ethics, Law, Legal Literacy &amp; Corporate Responsibility</t>
  </si>
  <si>
    <t>Integrated Business Solutions</t>
  </si>
  <si>
    <t>Experiential</t>
  </si>
  <si>
    <t>Real-World Projects Lab</t>
  </si>
  <si>
    <t>180 Degrees/Net Impact begins</t>
  </si>
  <si>
    <t>Advanced Consulting Frameworks &amp; Hypothesis - Driven Problem Solving</t>
  </si>
  <si>
    <t>Specialization</t>
  </si>
  <si>
    <t>Corporate Venturing, Innovation &amp; Foresight Strategy</t>
  </si>
  <si>
    <t>Advanced Financial Modelling</t>
  </si>
  <si>
    <t>Corporate Strategy &amp; Portfolio Management</t>
  </si>
  <si>
    <t>Digital &amp; AI-Driven Business Strategy</t>
  </si>
  <si>
    <t>Advanced Data Analytics &amp; Visualization</t>
  </si>
  <si>
    <t>Business Intelligence Consulting &amp; Strategy</t>
  </si>
  <si>
    <t>Predictive Modeling &amp; Machine Learning</t>
  </si>
  <si>
    <t>Database Management Systems (DBMS) &amp; SQL</t>
  </si>
  <si>
    <t>Cloud Data Platforms &amp; Infrastructure</t>
  </si>
  <si>
    <t>Text &amp; Natural Language Processing</t>
  </si>
  <si>
    <t>Capstone Consulting Project (winning the proposal)</t>
  </si>
  <si>
    <t>Job-Ready Bootcamp (internship &amp; general career prep)</t>
  </si>
  <si>
    <t>180 Degrees/Net Impact Execution</t>
  </si>
  <si>
    <t>Leveraging Gen AI to Execute Strategy Engagements</t>
  </si>
  <si>
    <t>Applied Behavioral Strategy for Consultants</t>
  </si>
  <si>
    <t>Advanced MarTech &amp; Performance Marketing for Strategy</t>
  </si>
  <si>
    <t>Storytelling, Influence &amp; Stakeholder Management - Advanced Consulting Lens</t>
  </si>
  <si>
    <t>Analytics for Strategic Decision Making</t>
  </si>
  <si>
    <t>Building and Acting Upon Competitor Benchmarking</t>
  </si>
  <si>
    <t>ESG, Governance, Impact &amp; Regulatory Strategy Consulting</t>
  </si>
  <si>
    <t>Generative AI for Business Analytics</t>
  </si>
  <si>
    <t>MarTech &amp; Customer Analytics</t>
  </si>
  <si>
    <t>Blockchain Applications in Business Analytics</t>
  </si>
  <si>
    <t>Cybersecurity for Business Analytics</t>
  </si>
  <si>
    <t>BFSI Analytics</t>
  </si>
  <si>
    <t>Supply Chain Analytics</t>
  </si>
  <si>
    <t>Healthcare Analytics</t>
  </si>
  <si>
    <t>Job-Ready Bootcamp (targeted placement prep)</t>
  </si>
  <si>
    <t>Capstone Consulting Project (project execution)</t>
  </si>
  <si>
    <t>Total Credits</t>
  </si>
  <si>
    <t xml:space="preserve">Position and Communication about the Webinar Session </t>
  </si>
  <si>
    <t xml:space="preserve">How do we Strengtnen Lead Quality </t>
  </si>
  <si>
    <t xml:space="preserve">Webinar - Platform to be  Zoom , Make It more Wanted and Sophisticated </t>
  </si>
  <si>
    <t xml:space="preserve">Create Content to drive traction to Linkedin  </t>
  </si>
  <si>
    <t>We need a Professional Looking Linkedin Page, I am Confused.</t>
  </si>
  <si>
    <t xml:space="preserve">Faculty Hiring Pipeline </t>
  </si>
  <si>
    <t xml:space="preserve">Actions </t>
  </si>
  <si>
    <t xml:space="preserve">Prepare JD and - What is it for them </t>
  </si>
  <si>
    <t xml:space="preserve">POP- Professor of Practise </t>
  </si>
  <si>
    <t>Pratik</t>
  </si>
  <si>
    <t>JL/UT</t>
  </si>
  <si>
    <t xml:space="preserve">fortnightly review </t>
  </si>
  <si>
    <t xml:space="preserve">Business Simulation - tech Platform </t>
  </si>
  <si>
    <t>Shankar/Gaurav</t>
  </si>
  <si>
    <t xml:space="preserve">build a MIS dashboard </t>
  </si>
  <si>
    <t xml:space="preserve">Landing Page and for Deployment </t>
  </si>
  <si>
    <t>Anil</t>
  </si>
  <si>
    <t>PHd in economics</t>
  </si>
  <si>
    <t>visiting</t>
  </si>
  <si>
    <t xml:space="preserve">visting </t>
  </si>
  <si>
    <t xml:space="preserve">Business and Product Strategy </t>
  </si>
  <si>
    <t xml:space="preserve">Business Transformation and AI </t>
  </si>
  <si>
    <t xml:space="preserve">Check for If Profile A is clusersd around- Operations- Supply Chain and Business Anlaystics, and Digital  Transformations . If not then - Get a solid Industry/POP sources </t>
  </si>
  <si>
    <t xml:space="preserve">Completed </t>
  </si>
  <si>
    <t xml:space="preserve">Coming into Focus Next </t>
  </si>
  <si>
    <t xml:space="preserve">In progress </t>
  </si>
  <si>
    <t>Risks/Mitigation</t>
  </si>
  <si>
    <t>Where each track stands</t>
  </si>
  <si>
    <t>USTU MBA with KPMG program — fortnightly review</t>
  </si>
  <si>
    <t>Track 1: Curriculum Design</t>
  </si>
  <si>
    <t>Course1: Corporate Finance &amp; Value Creation</t>
  </si>
  <si>
    <t>Course2 : Global Economics for Strategic Decision-Making</t>
  </si>
  <si>
    <t>Course3 : Operations Excellence &amp; Supply Chain Resilience</t>
  </si>
  <si>
    <t>Course5:  Competitive Strategy &amp; Game Theory</t>
  </si>
  <si>
    <t>Course4: Organizational Behaviour &amp; Leadership in Teams</t>
  </si>
  <si>
    <t>Admission Strategy, Eligibility &amp; Selection Criteria Definition</t>
  </si>
  <si>
    <t>Application Form + Admission SOP Setup</t>
  </si>
  <si>
    <t>Application Screening &amp; Shortlisting</t>
  </si>
  <si>
    <t>Admission Assessment &amp; Final Evaluation</t>
  </si>
  <si>
    <t>Offer Release, Scholarship Communication &amp; Seat Confirmation</t>
  </si>
  <si>
    <t>Student Intake Completion &amp; Process Feedback</t>
  </si>
  <si>
    <t>Assessment Design &amp; Evaluation Templates ( aptitude test, GD, case interview, PI rubrics)</t>
  </si>
  <si>
    <t xml:space="preserve">Admissions Technology / Process Setup / Merito/CRM </t>
  </si>
  <si>
    <t>Hackathons,</t>
  </si>
  <si>
    <t xml:space="preserve">LMS Readiness </t>
  </si>
  <si>
    <t>USTU-Trimester 2 – Course Content Design &amp; Development</t>
  </si>
  <si>
    <t>USTU-Trimester 3 – Course Content Design &amp; Development</t>
  </si>
  <si>
    <t>Academic QA &amp; Approval</t>
  </si>
  <si>
    <t>Delivery Readiness &amp; Launch</t>
  </si>
  <si>
    <t>Curriculum Design  ( Course Outline Creation+ Session Plan Design+Reading Material Selection +Case Studies Identification</t>
  </si>
  <si>
    <t>Academic Operations</t>
  </si>
  <si>
    <t xml:space="preserve">Academic Calendar </t>
  </si>
  <si>
    <t>Master Time Table</t>
  </si>
  <si>
    <t xml:space="preserve">Attendance registers and sheets </t>
  </si>
  <si>
    <t>Student Master Record</t>
  </si>
  <si>
    <t>Student Onboarding and Readiness and Induction Track</t>
  </si>
  <si>
    <t xml:space="preserve">In Progress </t>
  </si>
  <si>
    <t>USTU-Trimester 1 - Course Curriculum Track</t>
  </si>
  <si>
    <t>USTU-Trimester 4 – Course Content Design &amp; Development</t>
  </si>
  <si>
    <t>In progress</t>
  </si>
  <si>
    <t>Tremister-1 Course Credit &amp; Lecture Allocation Plan</t>
  </si>
  <si>
    <t>Per week/ 1.5 hrs/ 1 lecture</t>
  </si>
  <si>
    <t>Roshan to test ( Online Aptitude Test ) with Digiclass team</t>
  </si>
  <si>
    <t xml:space="preserve">Facilitator Training – TTT </t>
  </si>
  <si>
    <t xml:space="preserve">Vendor/Udemy/Coursera/Internal Faculty Options </t>
  </si>
  <si>
    <t xml:space="preserve">Roshan &amp; team </t>
  </si>
  <si>
    <t xml:space="preserve">licence </t>
  </si>
  <si>
    <t xml:space="preserve">unlimted </t>
  </si>
  <si>
    <t>couresera</t>
  </si>
  <si>
    <t xml:space="preserve">per year </t>
  </si>
  <si>
    <t>Per Subscription</t>
  </si>
  <si>
    <t xml:space="preserve">500 INR </t>
  </si>
  <si>
    <t>Per Course /Per Month</t>
  </si>
  <si>
    <t>HBR Case Studies Subscription</t>
  </si>
  <si>
    <t>Feedback( Student+Faculty)</t>
  </si>
  <si>
    <t xml:space="preserve">Student Development Track </t>
  </si>
  <si>
    <t>Extra Curricular Activities ( Sports, Cultural etc )</t>
  </si>
  <si>
    <t>Co-Curricular Activities ( Wellness, Life Skills)</t>
  </si>
  <si>
    <t xml:space="preserve">KPMG </t>
  </si>
  <si>
    <t xml:space="preserve">USTU </t>
  </si>
  <si>
    <t>MBA Student Induction and Readiness Program (SOP)</t>
  </si>
  <si>
    <t>Use Design Thinking framework/Templates to Conduct Learn by Doing Activities in Class</t>
  </si>
  <si>
    <t xml:space="preserve">IP+AI Product </t>
  </si>
  <si>
    <t>IP+AI Product</t>
  </si>
  <si>
    <t>Student Success, Evaluation &amp; Progression</t>
  </si>
  <si>
    <t>Content &amp; Assessment Development ( Teaching/Session  Plan, Teaching Deck Development, Notes + Experiential Activities + Formative  Assessment  +  Summative Assessment )</t>
  </si>
  <si>
    <t xml:space="preserve">Continuous Improvement </t>
  </si>
  <si>
    <t>SOP in Progress + Presentation deck</t>
  </si>
  <si>
    <t>Design Thinking Playbook to Facilitate ( Discovery and Design Sessions)</t>
  </si>
  <si>
    <t xml:space="preserve">Industry Projects/Problem Statements </t>
  </si>
  <si>
    <t xml:space="preserve">Review the 5 Courses -CO </t>
  </si>
  <si>
    <t>Comments</t>
  </si>
  <si>
    <t>Option 1</t>
  </si>
  <si>
    <t>Udemy</t>
  </si>
  <si>
    <t>Option 2</t>
  </si>
  <si>
    <t>External Vendor</t>
  </si>
  <si>
    <t>Option 3</t>
  </si>
  <si>
    <t>Option 4</t>
  </si>
  <si>
    <t>USTU Internal Faculty</t>
  </si>
  <si>
    <t>Option</t>
  </si>
  <si>
    <t>Vendor</t>
  </si>
  <si>
    <t>Approach</t>
  </si>
  <si>
    <t>Purchase learning tokens (~INR 2,500 per student for 5–6 courses) for Foundation / Primer course access.</t>
  </si>
  <si>
    <t>Cost-effective, flexible, quick to implement, and minimal deployment effort. Budget approval required.</t>
  </si>
  <si>
    <t>Develop/customize ~9 courses at INR 30,000–40,000 per course, plus packaging and deployment costs.</t>
  </si>
  <si>
    <t>High cost (~INR 4 lakhs+), longer turnaround time, and higher coordination/deployment effort.</t>
  </si>
  <si>
    <t>Checked for off-the-shelf Foundation / Primer courses.</t>
  </si>
  <si>
    <t>No suitable offerings available. Option ruled out.</t>
  </si>
  <si>
    <t>Develop content internally using existing assets and new content; package in SCORM and deploy on LMS.</t>
  </si>
  <si>
    <t>Time-intensive, requires technical dependency for packaging/deployment, and content quality review.</t>
  </si>
  <si>
    <t>Track the Status of Course with KPMG</t>
  </si>
  <si>
    <t xml:space="preserve">KPMG Courses </t>
  </si>
  <si>
    <t xml:space="preserve">Task </t>
  </si>
  <si>
    <t>Student Induction Delivery (PPT)</t>
  </si>
  <si>
    <t>Design a AI Integrated  Continuous Capability Evaluation and Progress System ( Faculty + Student View)</t>
  </si>
  <si>
    <r>
      <t xml:space="preserve">Student Experience  ( </t>
    </r>
    <r>
      <rPr>
        <b/>
        <sz val="11"/>
        <color theme="1"/>
        <rFont val="Aptos Narrow"/>
        <family val="2"/>
        <scheme val="minor"/>
      </rPr>
      <t>Student- Career Advisory</t>
    </r>
    <r>
      <rPr>
        <sz val="11"/>
        <color theme="1"/>
        <rFont val="Aptos Narrow"/>
        <family val="2"/>
        <scheme val="minor"/>
      </rPr>
      <t xml:space="preserve"> Playbook )/PPT</t>
    </r>
  </si>
  <si>
    <t>Lecture &amp; Discussion Spaces</t>
  </si>
  <si>
    <t>Access to Lab Infrastructure – ( Exploration, Co-Creation and Presentation Zone)/High-Tech Labs &amp; Innovation Hubs</t>
  </si>
  <si>
    <t>Presentation &amp; Pitching Areas</t>
  </si>
  <si>
    <t xml:space="preserve">Software Subscriptions and Tool Kits </t>
  </si>
  <si>
    <t>Assessment ( Aptitude test ) Integration with LMS (digiclass)</t>
  </si>
  <si>
    <t>Check If It can be Layered over Existing Student  Progress Tracking system or a Separate Tool/Platform</t>
  </si>
  <si>
    <t xml:space="preserve">Placement , Career Acceleration </t>
  </si>
  <si>
    <r>
      <rPr>
        <b/>
        <sz val="14"/>
        <color theme="3" tint="0.499984740745262"/>
        <rFont val="Aptos Narrow"/>
        <family val="2"/>
        <scheme val="minor"/>
      </rPr>
      <t>KPMG</t>
    </r>
    <r>
      <rPr>
        <b/>
        <sz val="14"/>
        <color theme="1"/>
        <rFont val="Aptos Narrow"/>
        <family val="2"/>
        <scheme val="minor"/>
      </rPr>
      <t>-Trimester 2 – Course Content Design &amp; Development</t>
    </r>
  </si>
  <si>
    <r>
      <rPr>
        <b/>
        <sz val="14"/>
        <color theme="3" tint="0.499984740745262"/>
        <rFont val="Aptos Narrow"/>
        <family val="2"/>
        <scheme val="minor"/>
      </rPr>
      <t>KPMG</t>
    </r>
    <r>
      <rPr>
        <b/>
        <sz val="14"/>
        <color theme="1"/>
        <rFont val="Aptos Narrow"/>
        <family val="2"/>
        <scheme val="minor"/>
      </rPr>
      <t>-Trimester 3 – Course Content Design &amp; Development</t>
    </r>
  </si>
  <si>
    <r>
      <t xml:space="preserve">Course 7 : Marketing, Brand &amp; Customer Strategy (MarTech strat, data and execution focus)- </t>
    </r>
    <r>
      <rPr>
        <b/>
        <sz val="12"/>
        <color theme="3" tint="0.499984740745262"/>
        <rFont val="Aptos Narrow"/>
        <family val="2"/>
        <scheme val="minor"/>
      </rPr>
      <t>KPMG</t>
    </r>
  </si>
  <si>
    <r>
      <t xml:space="preserve">Course 6: Strategic Consulting Frameworks &amp; Problem Solving - </t>
    </r>
    <r>
      <rPr>
        <b/>
        <sz val="12"/>
        <color theme="3" tint="0.499984740745262"/>
        <rFont val="Aptos Narrow"/>
        <family val="2"/>
        <scheme val="minor"/>
      </rPr>
      <t>KPMG</t>
    </r>
  </si>
  <si>
    <r>
      <rPr>
        <b/>
        <sz val="14"/>
        <color theme="3" tint="0.499984740745262"/>
        <rFont val="Aptos Narrow"/>
        <family val="2"/>
        <scheme val="minor"/>
      </rPr>
      <t>KPMG</t>
    </r>
    <r>
      <rPr>
        <b/>
        <sz val="14"/>
        <color theme="1"/>
        <rFont val="Aptos Narrow"/>
        <family val="2"/>
        <scheme val="minor"/>
      </rPr>
      <t>-Trimester 4  – Course Content Design &amp; Development</t>
    </r>
  </si>
  <si>
    <t>In Progress</t>
  </si>
  <si>
    <t>AI Workflow tool to Develop ILT /Instructor led content from Design and Research : Anil/Sabir</t>
  </si>
  <si>
    <t xml:space="preserve">Faculty industry experts  Database </t>
  </si>
  <si>
    <t>Faculty industry Professor of Practice Interviews and Selection (POP)</t>
  </si>
  <si>
    <t xml:space="preserve">Faculty Mapping  for Each subject </t>
  </si>
  <si>
    <t>Capstone Design</t>
  </si>
  <si>
    <t xml:space="preserve">Real-World Project Lab </t>
  </si>
  <si>
    <t xml:space="preserve">Job Ready Bootcamp </t>
  </si>
  <si>
    <t>Integrated Business Solution (BIS)  Design ( AI  Innovation and Builder Track)</t>
  </si>
  <si>
    <t xml:space="preserve">Anil, Mr. Bhushan </t>
  </si>
  <si>
    <t>USTU-Trimester 2,3,4 - Course Curriculum Track</t>
  </si>
  <si>
    <r>
      <t xml:space="preserve">Classroom/Facilitator Content Development </t>
    </r>
    <r>
      <rPr>
        <b/>
        <sz val="14"/>
        <color theme="1"/>
        <rFont val="Aptos Narrow"/>
        <family val="2"/>
        <scheme val="minor"/>
      </rPr>
      <t>AI Workflow</t>
    </r>
  </si>
  <si>
    <t xml:space="preserve">Design the process </t>
  </si>
  <si>
    <t xml:space="preserve">Student Alumni and Networking  Platform ( Industry Insights, Job Postings) </t>
  </si>
  <si>
    <t>Course Curriculum- Experiential Learning  Components</t>
  </si>
  <si>
    <t>Professional Capability Portfolio Design ( Proof of Work)</t>
  </si>
  <si>
    <t xml:space="preserve">OJT Feedback &amp;  Evaluation Matrix </t>
  </si>
  <si>
    <t>Partner Company Network Strategy</t>
  </si>
  <si>
    <t>Competency Mapping Framework- List Competencies, and how to measure .</t>
  </si>
  <si>
    <t>Structured Projects Bank ( Strategy Projects, Analytics Projects, Operations Projects</t>
  </si>
  <si>
    <t xml:space="preserve">OJT Mentoring System </t>
  </si>
  <si>
    <t>Capability and learning Outcomes Design ( KSA, what Skills, What behaviours ,knowledge , Business Outcomes ?)</t>
  </si>
  <si>
    <t>OJT Governance and Monitoring system</t>
  </si>
  <si>
    <t xml:space="preserve">OJT Learning Capture and Reflection System </t>
  </si>
  <si>
    <r>
      <t xml:space="preserve">OJT Design and  Integration  </t>
    </r>
    <r>
      <rPr>
        <b/>
        <sz val="16"/>
        <color theme="1"/>
        <rFont val="Aptos Narrow"/>
        <family val="2"/>
        <scheme val="minor"/>
      </rPr>
      <t>( Trimester -5&amp; 6)</t>
    </r>
  </si>
  <si>
    <t>OJT Role Architecture ( Strategy Track, Analyst Track, Operations, Transformation Track /role)</t>
  </si>
  <si>
    <t xml:space="preserve">Early Discussion with Bhushan Sir </t>
  </si>
  <si>
    <t>Submitted  for Review to VC / Feedback received -Anil</t>
  </si>
  <si>
    <t>WORKSTREAM</t>
  </si>
  <si>
    <t xml:space="preserve">Tracks </t>
  </si>
  <si>
    <t xml:space="preserve">Student Intake/Admission Process </t>
  </si>
  <si>
    <t>Student Intake  Admission Process</t>
  </si>
  <si>
    <t>Infrastructure ( Physical , Software, Technology )</t>
  </si>
  <si>
    <t>Update SOP and send to VC/ feedback received  -Anil</t>
  </si>
  <si>
    <t xml:space="preserve">Regulatory Process </t>
  </si>
  <si>
    <t xml:space="preserve">Placement Support &amp; Industry Integration </t>
  </si>
  <si>
    <t xml:space="preserve">Student Wellbeing &amp; Development Track </t>
  </si>
  <si>
    <t xml:space="preserve">Regulatory  Process </t>
  </si>
  <si>
    <t xml:space="preserve">Curriculum Design and Learning Content Experience </t>
  </si>
  <si>
    <t>Infrastructure (Physical , Software, Technology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</si>
</sst>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11"/>
      <color rgb="FF000000"/>
      <name val="Aptos Narrow"/>
      <family val="2"/>
      <scheme val="minor"/>
    </font>
    <font>
      <b/>
      <i/>
      <sz val="11"/>
      <color rgb="FF000000"/>
      <name val="Calibri"/>
      <family val="2"/>
    </font>
    <font>
      <b/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3" tint="0.499984740745262"/>
      <name val="Aptos Narrow"/>
      <family val="2"/>
      <scheme val="minor"/>
    </font>
    <font>
      <b/>
      <sz val="12"/>
      <color theme="3" tint="0.499984740745262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inden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1" xfId="0" applyFont="1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13" fillId="0" borderId="0" xfId="0" applyFont="1"/>
    <xf numFmtId="0" fontId="14" fillId="0" borderId="1" xfId="0" applyFont="1" applyBorder="1"/>
    <xf numFmtId="0" fontId="9" fillId="0" borderId="1" xfId="0" applyFont="1" applyBorder="1"/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1" fillId="5" borderId="1" xfId="1" applyFont="1" applyFill="1" applyBorder="1" applyAlignment="1">
      <alignment horizontal="center" vertical="center" wrapText="1"/>
    </xf>
    <xf numFmtId="0" fontId="10" fillId="5" borderId="1" xfId="1" applyFont="1" applyFill="1" applyBorder="1" applyAlignment="1">
      <alignment horizontal="center" vertical="center" wrapText="1"/>
    </xf>
    <xf numFmtId="0" fontId="16" fillId="6" borderId="1" xfId="1" applyFont="1" applyFill="1" applyBorder="1" applyAlignment="1">
      <alignment horizontal="left" vertical="center" wrapText="1"/>
    </xf>
    <xf numFmtId="0" fontId="16" fillId="6" borderId="1" xfId="1" applyFont="1" applyFill="1" applyBorder="1" applyAlignment="1">
      <alignment horizontal="center" vertical="center" wrapText="1"/>
    </xf>
    <xf numFmtId="0" fontId="11" fillId="6" borderId="1" xfId="1" applyFont="1" applyFill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18" fillId="7" borderId="1" xfId="1" applyFont="1" applyFill="1" applyBorder="1" applyAlignment="1">
      <alignment horizontal="left" vertical="center" wrapText="1"/>
    </xf>
    <xf numFmtId="0" fontId="1" fillId="0" borderId="1" xfId="1" applyBorder="1" applyAlignment="1">
      <alignment horizontal="center" vertical="center" wrapText="1"/>
    </xf>
    <xf numFmtId="0" fontId="19" fillId="7" borderId="1" xfId="1" applyFont="1" applyFill="1" applyBorder="1" applyAlignment="1">
      <alignment horizontal="left" vertical="center" wrapText="1"/>
    </xf>
    <xf numFmtId="0" fontId="1" fillId="7" borderId="1" xfId="1" applyFill="1" applyBorder="1" applyAlignment="1">
      <alignment vertical="center" wrapText="1"/>
    </xf>
    <xf numFmtId="0" fontId="18" fillId="7" borderId="1" xfId="1" applyFont="1" applyFill="1" applyBorder="1" applyAlignment="1">
      <alignment vertical="center" wrapText="1"/>
    </xf>
    <xf numFmtId="0" fontId="20" fillId="7" borderId="1" xfId="1" applyFont="1" applyFill="1" applyBorder="1" applyAlignment="1">
      <alignment horizontal="left" vertical="center" wrapText="1"/>
    </xf>
    <xf numFmtId="0" fontId="21" fillId="8" borderId="1" xfId="1" applyFont="1" applyFill="1" applyBorder="1" applyAlignment="1">
      <alignment horizontal="left" vertical="center" wrapText="1"/>
    </xf>
    <xf numFmtId="0" fontId="22" fillId="8" borderId="1" xfId="1" applyFont="1" applyFill="1" applyBorder="1" applyAlignment="1">
      <alignment horizontal="center" vertical="center" wrapText="1"/>
    </xf>
    <xf numFmtId="0" fontId="12" fillId="8" borderId="1" xfId="1" applyFont="1" applyFill="1" applyBorder="1" applyAlignment="1">
      <alignment horizontal="center" vertical="center" wrapText="1"/>
    </xf>
    <xf numFmtId="0" fontId="12" fillId="8" borderId="1" xfId="1" applyFont="1" applyFill="1" applyBorder="1" applyAlignment="1">
      <alignment horizontal="left" vertical="center" wrapText="1"/>
    </xf>
    <xf numFmtId="0" fontId="18" fillId="9" borderId="1" xfId="1" applyFont="1" applyFill="1" applyBorder="1" applyAlignment="1">
      <alignment horizontal="left" vertical="center" wrapText="1"/>
    </xf>
    <xf numFmtId="0" fontId="17" fillId="9" borderId="1" xfId="1" applyFont="1" applyFill="1" applyBorder="1" applyAlignment="1">
      <alignment horizontal="center" vertical="center" wrapText="1"/>
    </xf>
    <xf numFmtId="0" fontId="1" fillId="9" borderId="1" xfId="1" applyFill="1" applyBorder="1" applyAlignment="1">
      <alignment horizontal="center" vertical="center" wrapText="1"/>
    </xf>
    <xf numFmtId="0" fontId="19" fillId="9" borderId="1" xfId="1" applyFont="1" applyFill="1" applyBorder="1" applyAlignment="1">
      <alignment horizontal="left" vertical="center" wrapText="1"/>
    </xf>
    <xf numFmtId="0" fontId="18" fillId="10" borderId="1" xfId="1" applyFont="1" applyFill="1" applyBorder="1" applyAlignment="1">
      <alignment vertical="center" wrapText="1"/>
    </xf>
    <xf numFmtId="0" fontId="17" fillId="10" borderId="1" xfId="1" applyFont="1" applyFill="1" applyBorder="1" applyAlignment="1">
      <alignment horizontal="center" vertical="center" wrapText="1"/>
    </xf>
    <xf numFmtId="0" fontId="1" fillId="10" borderId="1" xfId="1" applyFill="1" applyBorder="1" applyAlignment="1">
      <alignment horizontal="center" vertical="center" wrapText="1"/>
    </xf>
    <xf numFmtId="0" fontId="23" fillId="10" borderId="1" xfId="1" applyFont="1" applyFill="1" applyBorder="1" applyAlignment="1">
      <alignment vertical="center" wrapText="1"/>
    </xf>
    <xf numFmtId="0" fontId="24" fillId="10" borderId="1" xfId="1" applyFont="1" applyFill="1" applyBorder="1" applyAlignment="1">
      <alignment vertical="center" wrapText="1"/>
    </xf>
    <xf numFmtId="0" fontId="19" fillId="10" borderId="1" xfId="1" applyFont="1" applyFill="1" applyBorder="1" applyAlignment="1">
      <alignment vertical="center" wrapText="1"/>
    </xf>
    <xf numFmtId="0" fontId="25" fillId="8" borderId="1" xfId="1" applyFont="1" applyFill="1" applyBorder="1" applyAlignment="1">
      <alignment vertical="center" wrapText="1"/>
    </xf>
    <xf numFmtId="0" fontId="23" fillId="9" borderId="1" xfId="1" applyFont="1" applyFill="1" applyBorder="1" applyAlignment="1">
      <alignment horizontal="left" vertical="center" wrapText="1"/>
    </xf>
    <xf numFmtId="0" fontId="24" fillId="9" borderId="1" xfId="1" applyFont="1" applyFill="1" applyBorder="1" applyAlignment="1">
      <alignment horizontal="left" vertical="center" wrapText="1"/>
    </xf>
    <xf numFmtId="0" fontId="26" fillId="8" borderId="1" xfId="1" applyFont="1" applyFill="1" applyBorder="1" applyAlignment="1">
      <alignment vertical="center" wrapText="1"/>
    </xf>
    <xf numFmtId="0" fontId="27" fillId="12" borderId="1" xfId="1" applyFont="1" applyFill="1" applyBorder="1" applyAlignment="1">
      <alignment vertical="center" wrapText="1"/>
    </xf>
    <xf numFmtId="0" fontId="27" fillId="12" borderId="1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9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9" fillId="13" borderId="1" xfId="1" applyFont="1" applyFill="1" applyBorder="1" applyAlignment="1">
      <alignment horizontal="left" vertical="center" wrapText="1"/>
    </xf>
    <xf numFmtId="0" fontId="17" fillId="13" borderId="1" xfId="1" applyFont="1" applyFill="1" applyBorder="1" applyAlignment="1">
      <alignment horizontal="center" vertical="center" wrapText="1"/>
    </xf>
    <xf numFmtId="0" fontId="1" fillId="13" borderId="1" xfId="1" applyFill="1" applyBorder="1" applyAlignment="1">
      <alignment horizontal="center" vertical="center" wrapText="1"/>
    </xf>
    <xf numFmtId="0" fontId="0" fillId="13" borderId="0" xfId="0" applyFill="1"/>
    <xf numFmtId="0" fontId="0" fillId="13" borderId="1" xfId="1" applyFont="1" applyFill="1" applyBorder="1" applyAlignment="1">
      <alignment horizontal="left" vertical="center" wrapText="1"/>
    </xf>
    <xf numFmtId="0" fontId="17" fillId="13" borderId="1" xfId="1" applyFont="1" applyFill="1" applyBorder="1" applyAlignment="1">
      <alignment vertical="center" wrapText="1"/>
    </xf>
    <xf numFmtId="0" fontId="11" fillId="0" borderId="4" xfId="1" applyFont="1" applyBorder="1" applyAlignment="1">
      <alignment horizontal="center" vertical="center" wrapText="1"/>
    </xf>
    <xf numFmtId="0" fontId="16" fillId="6" borderId="4" xfId="1" applyFont="1" applyFill="1" applyBorder="1" applyAlignment="1">
      <alignment horizontal="left" vertical="center" wrapText="1"/>
    </xf>
    <xf numFmtId="0" fontId="16" fillId="6" borderId="4" xfId="1" applyFont="1" applyFill="1" applyBorder="1" applyAlignment="1">
      <alignment horizontal="center" vertical="center" wrapText="1"/>
    </xf>
    <xf numFmtId="0" fontId="11" fillId="6" borderId="4" xfId="1" applyFont="1" applyFill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 wrapText="1"/>
    </xf>
    <xf numFmtId="0" fontId="19" fillId="7" borderId="5" xfId="1" applyFont="1" applyFill="1" applyBorder="1" applyAlignment="1">
      <alignment horizontal="left" vertical="center" wrapText="1"/>
    </xf>
    <xf numFmtId="0" fontId="1" fillId="0" borderId="5" xfId="1" applyBorder="1" applyAlignment="1">
      <alignment horizontal="center" vertical="center" wrapText="1"/>
    </xf>
    <xf numFmtId="0" fontId="18" fillId="7" borderId="7" xfId="1" applyFont="1" applyFill="1" applyBorder="1" applyAlignment="1">
      <alignment horizontal="left" vertical="center" wrapText="1"/>
    </xf>
    <xf numFmtId="0" fontId="17" fillId="0" borderId="7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 wrapText="1"/>
    </xf>
    <xf numFmtId="0" fontId="19" fillId="13" borderId="10" xfId="1" applyFont="1" applyFill="1" applyBorder="1" applyAlignment="1">
      <alignment horizontal="left" vertical="center" wrapText="1"/>
    </xf>
    <xf numFmtId="0" fontId="17" fillId="13" borderId="10" xfId="1" applyFont="1" applyFill="1" applyBorder="1" applyAlignment="1">
      <alignment horizontal="center" vertical="center" wrapText="1"/>
    </xf>
    <xf numFmtId="0" fontId="17" fillId="13" borderId="10" xfId="1" applyFont="1" applyFill="1" applyBorder="1" applyAlignment="1">
      <alignment horizontal="center" vertical="center"/>
    </xf>
    <xf numFmtId="0" fontId="11" fillId="5" borderId="11" xfId="1" applyFont="1" applyFill="1" applyBorder="1" applyAlignment="1">
      <alignment horizontal="center" vertical="center" wrapText="1"/>
    </xf>
    <xf numFmtId="0" fontId="11" fillId="6" borderId="12" xfId="1" applyFont="1" applyFill="1" applyBorder="1" applyAlignment="1">
      <alignment horizontal="center" vertical="center" wrapText="1"/>
    </xf>
    <xf numFmtId="0" fontId="1" fillId="0" borderId="13" xfId="1" applyBorder="1" applyAlignment="1">
      <alignment horizontal="center" vertical="center" wrapText="1"/>
    </xf>
    <xf numFmtId="0" fontId="1" fillId="0" borderId="11" xfId="1" applyBorder="1" applyAlignment="1">
      <alignment horizontal="center" vertical="center" wrapText="1"/>
    </xf>
    <xf numFmtId="0" fontId="1" fillId="13" borderId="11" xfId="1" applyFill="1" applyBorder="1" applyAlignment="1">
      <alignment horizontal="center" vertical="center" wrapText="1"/>
    </xf>
    <xf numFmtId="0" fontId="1" fillId="13" borderId="14" xfId="1" applyFill="1" applyBorder="1" applyAlignment="1">
      <alignment horizontal="center" vertical="center" wrapText="1"/>
    </xf>
    <xf numFmtId="0" fontId="1" fillId="0" borderId="15" xfId="1" applyBorder="1" applyAlignment="1">
      <alignment horizontal="center" vertical="center" wrapText="1"/>
    </xf>
    <xf numFmtId="0" fontId="17" fillId="13" borderId="11" xfId="1" applyFont="1" applyFill="1" applyBorder="1" applyAlignment="1">
      <alignment horizontal="center" vertical="center" wrapText="1"/>
    </xf>
    <xf numFmtId="0" fontId="12" fillId="8" borderId="11" xfId="1" applyFont="1" applyFill="1" applyBorder="1" applyAlignment="1">
      <alignment horizontal="center" vertical="center" wrapText="1"/>
    </xf>
    <xf numFmtId="0" fontId="11" fillId="6" borderId="11" xfId="1" applyFont="1" applyFill="1" applyBorder="1" applyAlignment="1">
      <alignment horizontal="center" vertical="center" wrapText="1"/>
    </xf>
    <xf numFmtId="0" fontId="1" fillId="9" borderId="11" xfId="1" applyFill="1" applyBorder="1" applyAlignment="1">
      <alignment horizontal="center" vertical="center" wrapText="1"/>
    </xf>
    <xf numFmtId="0" fontId="1" fillId="10" borderId="11" xfId="1" applyFill="1" applyBorder="1" applyAlignment="1">
      <alignment horizontal="center" vertical="center" wrapText="1"/>
    </xf>
    <xf numFmtId="0" fontId="27" fillId="12" borderId="11" xfId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/>
    </xf>
    <xf numFmtId="0" fontId="17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13" borderId="0" xfId="0" applyFill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0" fontId="0" fillId="14" borderId="0" xfId="0" applyFill="1"/>
    <xf numFmtId="0" fontId="7" fillId="14" borderId="1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0" fillId="14" borderId="1" xfId="0" applyFill="1" applyBorder="1" applyAlignment="1">
      <alignment horizontal="left" wrapText="1"/>
    </xf>
    <xf numFmtId="0" fontId="0" fillId="14" borderId="1" xfId="0" applyFill="1" applyBorder="1" applyAlignment="1">
      <alignment vertical="center"/>
    </xf>
    <xf numFmtId="0" fontId="0" fillId="14" borderId="1" xfId="0" applyFill="1" applyBorder="1" applyAlignment="1">
      <alignment horizontal="left" vertical="center" wrapText="1"/>
    </xf>
    <xf numFmtId="0" fontId="8" fillId="14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/>
    </xf>
    <xf numFmtId="0" fontId="0" fillId="11" borderId="1" xfId="0" applyFill="1" applyBorder="1"/>
    <xf numFmtId="0" fontId="0" fillId="11" borderId="0" xfId="0" applyFill="1"/>
    <xf numFmtId="0" fontId="0" fillId="11" borderId="1" xfId="0" applyFill="1" applyBorder="1" applyAlignment="1">
      <alignment wrapText="1"/>
    </xf>
    <xf numFmtId="0" fontId="8" fillId="11" borderId="3" xfId="0" applyFont="1" applyFill="1" applyBorder="1" applyAlignment="1">
      <alignment vertical="center" wrapText="1"/>
    </xf>
    <xf numFmtId="0" fontId="8" fillId="11" borderId="3" xfId="0" applyFont="1" applyFill="1" applyBorder="1" applyAlignment="1">
      <alignment vertical="center"/>
    </xf>
    <xf numFmtId="0" fontId="8" fillId="11" borderId="1" xfId="0" applyFont="1" applyFill="1" applyBorder="1" applyAlignment="1">
      <alignment horizontal="left" vertical="center" wrapText="1"/>
    </xf>
    <xf numFmtId="0" fontId="0" fillId="11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0" borderId="3" xfId="0" applyBorder="1"/>
    <xf numFmtId="0" fontId="0" fillId="14" borderId="3" xfId="0" applyFill="1" applyBorder="1"/>
    <xf numFmtId="0" fontId="0" fillId="15" borderId="1" xfId="0" applyFill="1" applyBorder="1" applyAlignment="1">
      <alignment horizontal="center"/>
    </xf>
    <xf numFmtId="0" fontId="0" fillId="15" borderId="11" xfId="0" applyFill="1" applyBorder="1" applyAlignment="1">
      <alignment horizontal="center"/>
    </xf>
    <xf numFmtId="0" fontId="0" fillId="15" borderId="0" xfId="0" applyFill="1"/>
    <xf numFmtId="0" fontId="0" fillId="14" borderId="1" xfId="0" applyFill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2" fillId="13" borderId="1" xfId="1" applyFont="1" applyFill="1" applyBorder="1" applyAlignment="1">
      <alignment horizontal="center" vertical="center" wrapText="1"/>
    </xf>
    <xf numFmtId="9" fontId="0" fillId="13" borderId="1" xfId="0" applyNumberFormat="1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wrapText="1"/>
    </xf>
    <xf numFmtId="0" fontId="0" fillId="15" borderId="1" xfId="0" applyFill="1" applyBorder="1" applyAlignment="1">
      <alignment horizontal="left" wrapText="1"/>
    </xf>
    <xf numFmtId="0" fontId="8" fillId="11" borderId="3" xfId="0" applyFont="1" applyFill="1" applyBorder="1" applyAlignment="1">
      <alignment horizontal="left" vertical="center" wrapText="1"/>
    </xf>
    <xf numFmtId="0" fontId="0" fillId="14" borderId="5" xfId="0" applyFill="1" applyBorder="1" applyAlignment="1">
      <alignment horizontal="left" vertical="center" wrapText="1"/>
    </xf>
    <xf numFmtId="0" fontId="7" fillId="14" borderId="5" xfId="0" applyFont="1" applyFill="1" applyBorder="1" applyAlignment="1">
      <alignment horizontal="left" vertical="center" wrapText="1"/>
    </xf>
    <xf numFmtId="0" fontId="0" fillId="14" borderId="5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28" fillId="14" borderId="1" xfId="0" applyFont="1" applyFill="1" applyBorder="1" applyAlignment="1">
      <alignment horizontal="left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14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0" fillId="16" borderId="1" xfId="0" applyFill="1" applyBorder="1" applyAlignment="1">
      <alignment wrapText="1"/>
    </xf>
    <xf numFmtId="0" fontId="0" fillId="16" borderId="1" xfId="0" applyFill="1" applyBorder="1" applyAlignment="1">
      <alignment horizontal="left" wrapText="1"/>
    </xf>
    <xf numFmtId="0" fontId="0" fillId="16" borderId="1" xfId="0" applyFill="1" applyBorder="1"/>
    <xf numFmtId="0" fontId="0" fillId="16" borderId="1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15" borderId="1" xfId="0" applyFill="1" applyBorder="1" applyAlignment="1">
      <alignment vertical="center"/>
    </xf>
    <xf numFmtId="15" fontId="0" fillId="0" borderId="1" xfId="0" applyNumberFormat="1" applyBorder="1" applyAlignment="1">
      <alignment horizontal="center"/>
    </xf>
    <xf numFmtId="15" fontId="0" fillId="15" borderId="1" xfId="0" applyNumberFormat="1" applyFill="1" applyBorder="1" applyAlignment="1">
      <alignment horizontal="center"/>
    </xf>
    <xf numFmtId="14" fontId="0" fillId="15" borderId="1" xfId="0" applyNumberFormat="1" applyFill="1" applyBorder="1" applyAlignment="1">
      <alignment horizontal="center"/>
    </xf>
    <xf numFmtId="14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15" fontId="0" fillId="11" borderId="1" xfId="0" applyNumberFormat="1" applyFill="1" applyBorder="1" applyAlignment="1">
      <alignment horizontal="center"/>
    </xf>
    <xf numFmtId="15" fontId="0" fillId="16" borderId="4" xfId="0" applyNumberFormat="1" applyFill="1" applyBorder="1" applyAlignment="1">
      <alignment horizontal="center"/>
    </xf>
    <xf numFmtId="15" fontId="2" fillId="16" borderId="1" xfId="0" applyNumberFormat="1" applyFont="1" applyFill="1" applyBorder="1" applyAlignment="1">
      <alignment horizontal="center"/>
    </xf>
    <xf numFmtId="0" fontId="28" fillId="15" borderId="1" xfId="0" applyFont="1" applyFill="1" applyBorder="1" applyAlignment="1">
      <alignment horizontal="left" vertical="center" wrapText="1" indent="1"/>
    </xf>
    <xf numFmtId="0" fontId="28" fillId="0" borderId="1" xfId="0" applyFont="1" applyBorder="1" applyAlignment="1">
      <alignment horizontal="left" vertical="center" wrapText="1" indent="1"/>
    </xf>
    <xf numFmtId="0" fontId="28" fillId="14" borderId="1" xfId="0" applyFont="1" applyFill="1" applyBorder="1" applyAlignment="1">
      <alignment horizontal="left" vertical="center" wrapText="1" indent="1"/>
    </xf>
    <xf numFmtId="0" fontId="0" fillId="8" borderId="1" xfId="0" applyFill="1" applyBorder="1" applyAlignment="1">
      <alignment horizontal="left" vertical="center" wrapText="1" indent="1"/>
    </xf>
    <xf numFmtId="0" fontId="8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vertical="center"/>
    </xf>
    <xf numFmtId="15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" xfId="0" applyFill="1" applyBorder="1"/>
    <xf numFmtId="0" fontId="0" fillId="8" borderId="3" xfId="0" applyFill="1" applyBorder="1"/>
    <xf numFmtId="0" fontId="0" fillId="8" borderId="1" xfId="0" applyFill="1" applyBorder="1" applyAlignment="1">
      <alignment horizontal="left" vertical="center" wrapText="1"/>
    </xf>
    <xf numFmtId="0" fontId="8" fillId="8" borderId="1" xfId="0" applyFont="1" applyFill="1" applyBorder="1" applyAlignment="1">
      <alignment vertical="center" wrapText="1"/>
    </xf>
    <xf numFmtId="0" fontId="0" fillId="8" borderId="0" xfId="0" applyFill="1"/>
    <xf numFmtId="0" fontId="0" fillId="8" borderId="4" xfId="0" applyFill="1" applyBorder="1" applyAlignment="1">
      <alignment horizontal="left" vertical="center" wrapText="1"/>
    </xf>
    <xf numFmtId="0" fontId="8" fillId="8" borderId="4" xfId="0" applyFont="1" applyFill="1" applyBorder="1" applyAlignment="1">
      <alignment vertical="center" wrapText="1"/>
    </xf>
    <xf numFmtId="0" fontId="0" fillId="8" borderId="4" xfId="0" applyFill="1" applyBorder="1" applyAlignment="1">
      <alignment horizontal="center"/>
    </xf>
    <xf numFmtId="0" fontId="0" fillId="8" borderId="1" xfId="0" applyFill="1" applyBorder="1" applyAlignment="1">
      <alignment vertical="center" wrapText="1"/>
    </xf>
    <xf numFmtId="0" fontId="8" fillId="8" borderId="1" xfId="0" applyFont="1" applyFill="1" applyBorder="1" applyAlignment="1">
      <alignment vertical="center"/>
    </xf>
    <xf numFmtId="0" fontId="0" fillId="8" borderId="1" xfId="0" applyFill="1" applyBorder="1" applyAlignment="1">
      <alignment wrapText="1"/>
    </xf>
    <xf numFmtId="0" fontId="0" fillId="8" borderId="1" xfId="0" applyFill="1" applyBorder="1" applyAlignment="1">
      <alignment horizontal="left" wrapText="1"/>
    </xf>
    <xf numFmtId="0" fontId="7" fillId="8" borderId="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 indent="1"/>
    </xf>
    <xf numFmtId="15" fontId="0" fillId="14" borderId="1" xfId="0" applyNumberForma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17" fillId="0" borderId="6" xfId="1" applyFont="1" applyBorder="1" applyAlignment="1">
      <alignment horizontal="center" vertical="center" wrapText="1"/>
    </xf>
    <xf numFmtId="0" fontId="17" fillId="0" borderId="8" xfId="1" applyFont="1" applyBorder="1" applyAlignment="1">
      <alignment horizontal="center" vertical="center" wrapText="1"/>
    </xf>
    <xf numFmtId="0" fontId="17" fillId="0" borderId="9" xfId="1" applyFont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17" fillId="11" borderId="1" xfId="1" applyFont="1" applyFill="1" applyBorder="1" applyAlignment="1">
      <alignment horizontal="center" vertical="center" wrapText="1"/>
    </xf>
    <xf numFmtId="0" fontId="1" fillId="11" borderId="1" xfId="1" applyFill="1" applyBorder="1" applyAlignment="1">
      <alignment horizontal="center" vertical="center" wrapText="1"/>
    </xf>
    <xf numFmtId="0" fontId="1" fillId="11" borderId="11" xfId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16" xfId="0" applyFont="1" applyBorder="1" applyAlignment="1">
      <alignment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8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vertical="center"/>
    </xf>
    <xf numFmtId="0" fontId="28" fillId="14" borderId="1" xfId="0" applyFont="1" applyFill="1" applyBorder="1" applyAlignment="1">
      <alignment vertical="center" wrapText="1"/>
    </xf>
    <xf numFmtId="0" fontId="28" fillId="0" borderId="16" xfId="0" applyFont="1" applyBorder="1" applyAlignment="1">
      <alignment vertical="center" wrapText="1"/>
    </xf>
    <xf numFmtId="0" fontId="8" fillId="11" borderId="16" xfId="0" applyFont="1" applyFill="1" applyBorder="1" applyAlignment="1">
      <alignment vertical="center" wrapText="1"/>
    </xf>
    <xf numFmtId="0" fontId="2" fillId="11" borderId="16" xfId="0" applyFont="1" applyFill="1" applyBorder="1" applyAlignment="1">
      <alignment horizontal="left" vertical="center" wrapText="1"/>
    </xf>
    <xf numFmtId="0" fontId="8" fillId="11" borderId="16" xfId="0" applyFont="1" applyFill="1" applyBorder="1" applyAlignment="1">
      <alignment vertical="center"/>
    </xf>
    <xf numFmtId="15" fontId="0" fillId="16" borderId="16" xfId="0" applyNumberFormat="1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8" fillId="7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vertical="center"/>
    </xf>
    <xf numFmtId="15" fontId="2" fillId="7" borderId="1" xfId="0" applyNumberFormat="1" applyFont="1" applyFill="1" applyBorder="1" applyAlignment="1">
      <alignment horizontal="center"/>
    </xf>
    <xf numFmtId="0" fontId="0" fillId="7" borderId="1" xfId="0" applyFill="1" applyBorder="1"/>
    <xf numFmtId="0" fontId="3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8" fillId="0" borderId="16" xfId="0" applyFont="1" applyBorder="1" applyAlignment="1">
      <alignment horizontal="left" vertical="center" wrapText="1"/>
    </xf>
    <xf numFmtId="0" fontId="8" fillId="11" borderId="5" xfId="0" applyFont="1" applyFill="1" applyBorder="1" applyAlignment="1">
      <alignment vertical="center" wrapText="1"/>
    </xf>
    <xf numFmtId="0" fontId="8" fillId="11" borderId="5" xfId="0" applyFont="1" applyFill="1" applyBorder="1" applyAlignment="1">
      <alignment horizontal="left" vertical="center" wrapText="1"/>
    </xf>
    <xf numFmtId="0" fontId="8" fillId="11" borderId="5" xfId="0" applyFont="1" applyFill="1" applyBorder="1" applyAlignment="1">
      <alignment vertical="center"/>
    </xf>
    <xf numFmtId="0" fontId="0" fillId="11" borderId="15" xfId="0" applyFill="1" applyBorder="1" applyAlignment="1">
      <alignment horizontal="center"/>
    </xf>
    <xf numFmtId="0" fontId="0" fillId="14" borderId="1" xfId="0" applyFill="1" applyBorder="1" applyAlignment="1">
      <alignment horizontal="left" vertical="center" wrapText="1" indent="1"/>
    </xf>
    <xf numFmtId="0" fontId="8" fillId="14" borderId="1" xfId="0" applyFont="1" applyFill="1" applyBorder="1" applyAlignment="1">
      <alignment vertical="center"/>
    </xf>
    <xf numFmtId="15" fontId="2" fillId="14" borderId="1" xfId="0" applyNumberFormat="1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3" xfId="0" applyFill="1" applyBorder="1"/>
    <xf numFmtId="0" fontId="0" fillId="14" borderId="3" xfId="0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left" vertical="center" wrapText="1"/>
    </xf>
    <xf numFmtId="15" fontId="0" fillId="16" borderId="1" xfId="0" applyNumberForma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1" borderId="16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1" borderId="16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4" xfId="1" xr:uid="{4DD9368E-C98D-4621-BBF3-609B9F7896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167559</xdr:rowOff>
    </xdr:from>
    <xdr:to>
      <xdr:col>17</xdr:col>
      <xdr:colOff>565727</xdr:colOff>
      <xdr:row>40</xdr:row>
      <xdr:rowOff>5229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9A61A9-71FE-2C02-0BFE-F34A92B05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9364" y="871832"/>
          <a:ext cx="6684818" cy="7169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5192292</xdr:colOff>
      <xdr:row>19</xdr:row>
      <xdr:rowOff>141940</xdr:rowOff>
    </xdr:from>
    <xdr:to>
      <xdr:col>5</xdr:col>
      <xdr:colOff>822968</xdr:colOff>
      <xdr:row>34</xdr:row>
      <xdr:rowOff>96796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65E9E3-34B6-168F-9BD2-E83062F27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1292" y="5012764"/>
          <a:ext cx="4124735" cy="2756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290D-F497-42C2-8229-E97790CE12AD}">
  <dimension ref="B2:Z42"/>
  <sheetViews>
    <sheetView topLeftCell="A3" zoomScale="55" zoomScaleNormal="55" workbookViewId="0">
      <selection activeCell="AA19" sqref="AA19"/>
    </sheetView>
  </sheetViews>
  <sheetFormatPr defaultRowHeight="14.5" x14ac:dyDescent="0.35"/>
  <cols>
    <col min="1" max="1" width="3.54296875" customWidth="1"/>
    <col min="2" max="2" width="8.7265625" hidden="1" customWidth="1"/>
    <col min="3" max="3" width="5.7265625" customWidth="1"/>
    <col min="4" max="4" width="32.7265625" customWidth="1"/>
    <col min="5" max="5" width="28" customWidth="1"/>
    <col min="6" max="6" width="28.6328125" customWidth="1"/>
  </cols>
  <sheetData>
    <row r="2" spans="4:26" s="2" customFormat="1" ht="26.5" customHeight="1" x14ac:dyDescent="0.35">
      <c r="D2" s="200" t="s">
        <v>49</v>
      </c>
      <c r="E2" s="200"/>
      <c r="F2" s="200"/>
      <c r="G2" s="9"/>
    </row>
    <row r="3" spans="4:26" x14ac:dyDescent="0.35">
      <c r="D3" s="3"/>
      <c r="E3" s="3"/>
      <c r="F3" s="3"/>
    </row>
    <row r="4" spans="4:26" s="2" customFormat="1" ht="33.5" customHeight="1" x14ac:dyDescent="0.35">
      <c r="D4" s="7" t="s">
        <v>0</v>
      </c>
      <c r="E4" s="8" t="s">
        <v>14</v>
      </c>
      <c r="F4" s="8" t="s">
        <v>1</v>
      </c>
    </row>
    <row r="5" spans="4:26" x14ac:dyDescent="0.35">
      <c r="D5" s="4" t="s">
        <v>2</v>
      </c>
      <c r="E5" s="4" t="s">
        <v>18</v>
      </c>
      <c r="F5" s="4" t="s">
        <v>19</v>
      </c>
    </row>
    <row r="6" spans="4:26" x14ac:dyDescent="0.35">
      <c r="D6" s="5" t="s">
        <v>3</v>
      </c>
      <c r="E6" s="6"/>
      <c r="F6" s="6"/>
    </row>
    <row r="7" spans="4:26" x14ac:dyDescent="0.35">
      <c r="D7" s="5" t="s">
        <v>4</v>
      </c>
      <c r="E7" s="6" t="s">
        <v>15</v>
      </c>
      <c r="F7" s="6" t="s">
        <v>20</v>
      </c>
    </row>
    <row r="8" spans="4:26" ht="14.5" customHeight="1" x14ac:dyDescent="0.35">
      <c r="D8" s="5" t="s">
        <v>5</v>
      </c>
      <c r="E8" s="6" t="s">
        <v>16</v>
      </c>
      <c r="F8" s="6" t="s">
        <v>21</v>
      </c>
      <c r="U8" s="201" t="s">
        <v>64</v>
      </c>
      <c r="V8" s="201"/>
      <c r="W8" s="201"/>
      <c r="X8" s="201"/>
      <c r="Y8" s="201"/>
      <c r="Z8" s="201"/>
    </row>
    <row r="9" spans="4:26" ht="14.5" customHeight="1" x14ac:dyDescent="0.35">
      <c r="D9" s="4" t="s">
        <v>6</v>
      </c>
      <c r="E9" s="6" t="s">
        <v>17</v>
      </c>
      <c r="F9" s="6" t="s">
        <v>22</v>
      </c>
      <c r="U9" s="201"/>
      <c r="V9" s="201"/>
      <c r="W9" s="201"/>
      <c r="X9" s="201"/>
      <c r="Y9" s="201"/>
      <c r="Z9" s="201"/>
    </row>
    <row r="10" spans="4:26" ht="14.5" customHeight="1" x14ac:dyDescent="0.35">
      <c r="D10" s="5" t="s">
        <v>7</v>
      </c>
      <c r="E10" s="3"/>
      <c r="F10" s="3"/>
      <c r="U10" s="201"/>
      <c r="V10" s="201"/>
      <c r="W10" s="201"/>
      <c r="X10" s="201"/>
      <c r="Y10" s="201"/>
      <c r="Z10" s="201"/>
    </row>
    <row r="11" spans="4:26" ht="14.5" customHeight="1" x14ac:dyDescent="0.35">
      <c r="D11" s="5" t="s">
        <v>8</v>
      </c>
      <c r="E11" s="4" t="s">
        <v>37</v>
      </c>
      <c r="F11" s="4" t="s">
        <v>23</v>
      </c>
      <c r="U11" s="201"/>
      <c r="V11" s="201"/>
      <c r="W11" s="201"/>
      <c r="X11" s="201"/>
      <c r="Y11" s="201"/>
      <c r="Z11" s="201"/>
    </row>
    <row r="12" spans="4:26" ht="14.5" customHeight="1" x14ac:dyDescent="0.35">
      <c r="D12" s="5" t="s">
        <v>9</v>
      </c>
      <c r="E12" s="6"/>
      <c r="F12" s="6"/>
      <c r="U12" s="201"/>
      <c r="V12" s="201"/>
      <c r="W12" s="201"/>
      <c r="X12" s="201"/>
      <c r="Y12" s="201"/>
      <c r="Z12" s="201"/>
    </row>
    <row r="13" spans="4:26" ht="14.5" customHeight="1" x14ac:dyDescent="0.35">
      <c r="D13" s="4" t="s">
        <v>10</v>
      </c>
      <c r="E13" s="6" t="s">
        <v>38</v>
      </c>
      <c r="F13" s="6" t="s">
        <v>24</v>
      </c>
      <c r="U13" s="201"/>
      <c r="V13" s="201"/>
      <c r="W13" s="201"/>
      <c r="X13" s="201"/>
      <c r="Y13" s="201"/>
      <c r="Z13" s="201"/>
    </row>
    <row r="14" spans="4:26" ht="14.5" customHeight="1" x14ac:dyDescent="0.35">
      <c r="D14" s="3" t="s">
        <v>11</v>
      </c>
      <c r="E14" s="6" t="s">
        <v>39</v>
      </c>
      <c r="F14" s="6" t="s">
        <v>25</v>
      </c>
      <c r="U14" s="201"/>
      <c r="V14" s="201"/>
      <c r="W14" s="201"/>
      <c r="X14" s="201"/>
      <c r="Y14" s="201"/>
      <c r="Z14" s="201"/>
    </row>
    <row r="15" spans="4:26" ht="14.5" customHeight="1" x14ac:dyDescent="0.35">
      <c r="D15" s="3" t="s">
        <v>12</v>
      </c>
      <c r="E15" s="6" t="s">
        <v>40</v>
      </c>
      <c r="F15" s="6" t="s">
        <v>26</v>
      </c>
      <c r="U15" s="201"/>
      <c r="V15" s="201"/>
      <c r="W15" s="201"/>
      <c r="X15" s="201"/>
      <c r="Y15" s="201"/>
      <c r="Z15" s="201"/>
    </row>
    <row r="16" spans="4:26" ht="14.5" customHeight="1" x14ac:dyDescent="0.35">
      <c r="D16" s="3" t="s">
        <v>13</v>
      </c>
      <c r="E16" s="3"/>
      <c r="F16" s="3"/>
      <c r="U16" s="201"/>
      <c r="V16" s="201"/>
      <c r="W16" s="201"/>
      <c r="X16" s="201"/>
      <c r="Y16" s="201"/>
      <c r="Z16" s="201"/>
    </row>
    <row r="17" spans="4:26" ht="14.5" customHeight="1" x14ac:dyDescent="0.35">
      <c r="D17" s="3"/>
      <c r="E17" s="4" t="s">
        <v>41</v>
      </c>
      <c r="F17" s="4" t="s">
        <v>27</v>
      </c>
      <c r="U17" s="201"/>
      <c r="V17" s="201"/>
      <c r="W17" s="201"/>
      <c r="X17" s="201"/>
      <c r="Y17" s="201"/>
      <c r="Z17" s="201"/>
    </row>
    <row r="18" spans="4:26" ht="14.5" customHeight="1" x14ac:dyDescent="0.35">
      <c r="D18" s="3"/>
      <c r="E18" s="6"/>
      <c r="F18" s="6"/>
      <c r="U18" s="201"/>
      <c r="V18" s="201"/>
      <c r="W18" s="201"/>
      <c r="X18" s="201"/>
      <c r="Y18" s="201"/>
      <c r="Z18" s="201"/>
    </row>
    <row r="19" spans="4:26" ht="14.5" customHeight="1" x14ac:dyDescent="0.35">
      <c r="D19" s="3"/>
      <c r="E19" s="6" t="s">
        <v>42</v>
      </c>
      <c r="F19" s="6" t="s">
        <v>28</v>
      </c>
      <c r="U19" s="201"/>
      <c r="V19" s="201"/>
      <c r="W19" s="201"/>
      <c r="X19" s="201"/>
      <c r="Y19" s="201"/>
      <c r="Z19" s="201"/>
    </row>
    <row r="20" spans="4:26" ht="14.5" customHeight="1" x14ac:dyDescent="0.35">
      <c r="D20" s="3"/>
      <c r="E20" s="6" t="s">
        <v>43</v>
      </c>
      <c r="F20" s="6" t="s">
        <v>29</v>
      </c>
      <c r="U20" s="201"/>
      <c r="V20" s="201"/>
      <c r="W20" s="201"/>
      <c r="X20" s="201"/>
      <c r="Y20" s="201"/>
      <c r="Z20" s="201"/>
    </row>
    <row r="21" spans="4:26" x14ac:dyDescent="0.35">
      <c r="D21" s="3"/>
      <c r="E21" s="6" t="s">
        <v>44</v>
      </c>
      <c r="F21" s="6" t="s">
        <v>30</v>
      </c>
    </row>
    <row r="22" spans="4:26" x14ac:dyDescent="0.35">
      <c r="D22" s="3"/>
      <c r="E22" s="3"/>
      <c r="F22" s="3"/>
    </row>
    <row r="23" spans="4:26" x14ac:dyDescent="0.35">
      <c r="D23" s="3"/>
      <c r="E23" s="4" t="s">
        <v>45</v>
      </c>
      <c r="F23" s="4" t="s">
        <v>31</v>
      </c>
      <c r="U23" s="201" t="s">
        <v>65</v>
      </c>
      <c r="V23" s="201"/>
      <c r="W23" s="201"/>
      <c r="X23" s="201"/>
      <c r="Y23" s="201"/>
      <c r="Z23" s="201"/>
    </row>
    <row r="24" spans="4:26" x14ac:dyDescent="0.35">
      <c r="D24" s="3"/>
      <c r="E24" s="6"/>
      <c r="F24" s="6"/>
      <c r="U24" s="201"/>
      <c r="V24" s="201"/>
      <c r="W24" s="201"/>
      <c r="X24" s="201"/>
      <c r="Y24" s="201"/>
      <c r="Z24" s="201"/>
    </row>
    <row r="25" spans="4:26" x14ac:dyDescent="0.35">
      <c r="D25" s="3"/>
      <c r="E25" s="6" t="s">
        <v>46</v>
      </c>
      <c r="F25" s="6" t="s">
        <v>32</v>
      </c>
      <c r="U25" s="201"/>
      <c r="V25" s="201"/>
      <c r="W25" s="201"/>
      <c r="X25" s="201"/>
      <c r="Y25" s="201"/>
      <c r="Z25" s="201"/>
    </row>
    <row r="26" spans="4:26" x14ac:dyDescent="0.35">
      <c r="D26" s="3"/>
      <c r="E26" s="6" t="s">
        <v>47</v>
      </c>
      <c r="F26" s="6" t="s">
        <v>33</v>
      </c>
      <c r="U26" s="201"/>
      <c r="V26" s="201"/>
      <c r="W26" s="201"/>
      <c r="X26" s="201"/>
      <c r="Y26" s="201"/>
      <c r="Z26" s="201"/>
    </row>
    <row r="27" spans="4:26" x14ac:dyDescent="0.35">
      <c r="D27" s="3"/>
      <c r="E27" s="6" t="s">
        <v>48</v>
      </c>
      <c r="F27" s="3"/>
      <c r="U27" s="201"/>
      <c r="V27" s="201"/>
      <c r="W27" s="201"/>
      <c r="X27" s="201"/>
      <c r="Y27" s="201"/>
      <c r="Z27" s="201"/>
    </row>
    <row r="28" spans="4:26" x14ac:dyDescent="0.35">
      <c r="D28" s="3"/>
      <c r="E28" s="3"/>
      <c r="F28" s="4" t="s">
        <v>34</v>
      </c>
      <c r="U28" s="201"/>
      <c r="V28" s="201"/>
      <c r="W28" s="201"/>
      <c r="X28" s="201"/>
      <c r="Y28" s="201"/>
      <c r="Z28" s="201"/>
    </row>
    <row r="29" spans="4:26" x14ac:dyDescent="0.35">
      <c r="D29" s="3"/>
      <c r="E29" s="3"/>
      <c r="F29" s="6"/>
      <c r="U29" s="201"/>
      <c r="V29" s="201"/>
      <c r="W29" s="201"/>
      <c r="X29" s="201"/>
      <c r="Y29" s="201"/>
      <c r="Z29" s="201"/>
    </row>
    <row r="30" spans="4:26" x14ac:dyDescent="0.35">
      <c r="D30" s="3"/>
      <c r="E30" s="3"/>
      <c r="F30" s="6" t="s">
        <v>35</v>
      </c>
      <c r="U30" s="201"/>
      <c r="V30" s="201"/>
      <c r="W30" s="201"/>
      <c r="X30" s="201"/>
      <c r="Y30" s="201"/>
      <c r="Z30" s="201"/>
    </row>
    <row r="31" spans="4:26" x14ac:dyDescent="0.35">
      <c r="D31" s="3"/>
      <c r="E31" s="3"/>
      <c r="F31" s="6" t="s">
        <v>36</v>
      </c>
      <c r="U31" s="201"/>
      <c r="V31" s="201"/>
      <c r="W31" s="201"/>
      <c r="X31" s="201"/>
      <c r="Y31" s="201"/>
      <c r="Z31" s="201"/>
    </row>
    <row r="32" spans="4:26" x14ac:dyDescent="0.35">
      <c r="D32" s="3"/>
      <c r="E32" s="3"/>
      <c r="F32" s="3"/>
      <c r="U32" s="201"/>
      <c r="V32" s="201"/>
      <c r="W32" s="201"/>
      <c r="X32" s="201"/>
      <c r="Y32" s="201"/>
      <c r="Z32" s="201"/>
    </row>
    <row r="33" spans="4:6" ht="26" x14ac:dyDescent="0.6">
      <c r="D33" s="10" t="s">
        <v>50</v>
      </c>
      <c r="E33" s="10" t="s">
        <v>50</v>
      </c>
      <c r="F33" s="10" t="s">
        <v>50</v>
      </c>
    </row>
    <row r="34" spans="4:6" ht="22.5" customHeight="1" x14ac:dyDescent="0.35">
      <c r="D34" s="3" t="s">
        <v>51</v>
      </c>
      <c r="E34" s="3" t="s">
        <v>54</v>
      </c>
      <c r="F34" s="4" t="s">
        <v>57</v>
      </c>
    </row>
    <row r="35" spans="4:6" x14ac:dyDescent="0.35">
      <c r="D35" s="3" t="s">
        <v>52</v>
      </c>
      <c r="E35" s="3" t="s">
        <v>55</v>
      </c>
      <c r="F35" s="3" t="s">
        <v>58</v>
      </c>
    </row>
    <row r="36" spans="4:6" x14ac:dyDescent="0.35">
      <c r="D36" s="3" t="s">
        <v>53</v>
      </c>
      <c r="E36" s="3" t="s">
        <v>56</v>
      </c>
      <c r="F36" s="3" t="s">
        <v>59</v>
      </c>
    </row>
    <row r="37" spans="4:6" x14ac:dyDescent="0.35">
      <c r="D37" s="3"/>
      <c r="E37" s="3"/>
      <c r="F37" s="4" t="s">
        <v>60</v>
      </c>
    </row>
    <row r="38" spans="4:6" x14ac:dyDescent="0.35">
      <c r="D38" s="3"/>
      <c r="E38" s="3"/>
      <c r="F38" s="3" t="s">
        <v>61</v>
      </c>
    </row>
    <row r="39" spans="4:6" x14ac:dyDescent="0.35">
      <c r="D39" s="3"/>
      <c r="E39" s="3"/>
      <c r="F39" s="3" t="s">
        <v>62</v>
      </c>
    </row>
    <row r="40" spans="4:6" x14ac:dyDescent="0.35">
      <c r="D40" s="3"/>
      <c r="E40" s="3"/>
      <c r="F40" s="3" t="s">
        <v>63</v>
      </c>
    </row>
    <row r="41" spans="4:6" x14ac:dyDescent="0.35">
      <c r="D41" s="3"/>
      <c r="E41" s="3"/>
      <c r="F41" s="3"/>
    </row>
    <row r="42" spans="4:6" x14ac:dyDescent="0.35">
      <c r="D42" s="3"/>
      <c r="E42" s="3"/>
      <c r="F42" s="3"/>
    </row>
  </sheetData>
  <mergeCells count="3">
    <mergeCell ref="D2:F2"/>
    <mergeCell ref="U8:Z20"/>
    <mergeCell ref="U23:Z32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F2AC-9251-4DC0-9B6E-A5156D085427}">
  <sheetPr filterMode="1"/>
  <dimension ref="A1:J57"/>
  <sheetViews>
    <sheetView zoomScale="86" zoomScaleNormal="86" workbookViewId="0">
      <selection activeCell="A10" sqref="A10:A17"/>
    </sheetView>
  </sheetViews>
  <sheetFormatPr defaultRowHeight="14.5" x14ac:dyDescent="0.35"/>
  <cols>
    <col min="1" max="1" width="12.81640625" style="56" customWidth="1"/>
    <col min="2" max="2" width="55.90625" style="57" customWidth="1"/>
    <col min="3" max="3" width="14.1796875" style="56" customWidth="1"/>
    <col min="4" max="4" width="16.81640625" style="56" customWidth="1"/>
    <col min="5" max="5" width="16.54296875" style="56" customWidth="1"/>
    <col min="6" max="6" width="10.81640625" style="56" customWidth="1"/>
    <col min="7" max="7" width="6.26953125" style="12" customWidth="1"/>
    <col min="8" max="8" width="26.453125" style="96" customWidth="1"/>
  </cols>
  <sheetData>
    <row r="1" spans="1:10" ht="68" customHeight="1" x14ac:dyDescent="0.35">
      <c r="A1" s="24" t="s">
        <v>93</v>
      </c>
      <c r="B1" s="25" t="s">
        <v>94</v>
      </c>
      <c r="C1" s="24" t="s">
        <v>95</v>
      </c>
      <c r="D1" s="24" t="s">
        <v>96</v>
      </c>
      <c r="E1" s="24" t="s">
        <v>97</v>
      </c>
      <c r="F1" s="80" t="s">
        <v>98</v>
      </c>
      <c r="H1" s="98" t="s">
        <v>172</v>
      </c>
      <c r="I1" s="137" t="s">
        <v>228</v>
      </c>
      <c r="J1" s="138">
        <v>0.3</v>
      </c>
    </row>
    <row r="2" spans="1:10" ht="29" x14ac:dyDescent="0.35">
      <c r="A2" s="67"/>
      <c r="B2" s="68" t="s">
        <v>99</v>
      </c>
      <c r="C2" s="69" t="s">
        <v>100</v>
      </c>
      <c r="D2" s="70" t="s">
        <v>101</v>
      </c>
      <c r="E2" s="70" t="s">
        <v>101</v>
      </c>
      <c r="F2" s="81"/>
      <c r="I2" s="137" t="s">
        <v>67</v>
      </c>
      <c r="J2" s="138">
        <v>0.7</v>
      </c>
    </row>
    <row r="3" spans="1:10" ht="11.5" hidden="1" customHeight="1" x14ac:dyDescent="0.35">
      <c r="A3" s="202">
        <v>1</v>
      </c>
      <c r="B3" s="74" t="s">
        <v>102</v>
      </c>
      <c r="C3" s="75" t="s">
        <v>103</v>
      </c>
      <c r="D3" s="76">
        <v>3</v>
      </c>
      <c r="E3" s="76">
        <v>3</v>
      </c>
      <c r="F3" s="82" t="s">
        <v>66</v>
      </c>
      <c r="I3" s="139" t="s">
        <v>229</v>
      </c>
      <c r="J3" s="139" t="s">
        <v>63</v>
      </c>
    </row>
    <row r="4" spans="1:10" ht="11.5" customHeight="1" x14ac:dyDescent="0.35">
      <c r="A4" s="203"/>
      <c r="B4" s="32" t="s">
        <v>104</v>
      </c>
      <c r="C4" s="29" t="s">
        <v>103</v>
      </c>
      <c r="D4" s="31">
        <v>2</v>
      </c>
      <c r="E4" s="31">
        <v>2</v>
      </c>
      <c r="F4" s="83" t="s">
        <v>67</v>
      </c>
      <c r="G4" s="95"/>
      <c r="H4" s="96" t="s">
        <v>211</v>
      </c>
      <c r="I4" s="1"/>
      <c r="J4" s="1"/>
    </row>
    <row r="5" spans="1:10" s="64" customFormat="1" ht="11.5" customHeight="1" x14ac:dyDescent="0.35">
      <c r="A5" s="203"/>
      <c r="B5" s="61" t="s">
        <v>68</v>
      </c>
      <c r="C5" s="62" t="s">
        <v>103</v>
      </c>
      <c r="D5" s="63">
        <v>3</v>
      </c>
      <c r="E5" s="63">
        <v>3</v>
      </c>
      <c r="F5" s="84" t="s">
        <v>67</v>
      </c>
      <c r="G5" s="95"/>
      <c r="H5" s="97" t="s">
        <v>167</v>
      </c>
    </row>
    <row r="6" spans="1:10" ht="11.5" customHeight="1" x14ac:dyDescent="0.35">
      <c r="A6" s="203"/>
      <c r="B6" s="32" t="s">
        <v>105</v>
      </c>
      <c r="C6" s="29" t="s">
        <v>103</v>
      </c>
      <c r="D6" s="31">
        <v>3</v>
      </c>
      <c r="E6" s="31">
        <v>3</v>
      </c>
      <c r="F6" s="83" t="s">
        <v>67</v>
      </c>
      <c r="H6" s="96" t="s">
        <v>168</v>
      </c>
    </row>
    <row r="7" spans="1:10" ht="11.5" hidden="1" customHeight="1" x14ac:dyDescent="0.35">
      <c r="A7" s="203"/>
      <c r="B7" s="30" t="s">
        <v>106</v>
      </c>
      <c r="C7" s="29" t="s">
        <v>103</v>
      </c>
      <c r="D7" s="31">
        <v>2</v>
      </c>
      <c r="E7" s="31">
        <v>2</v>
      </c>
      <c r="F7" s="83" t="s">
        <v>66</v>
      </c>
    </row>
    <row r="8" spans="1:10" ht="11.5" customHeight="1" x14ac:dyDescent="0.35">
      <c r="A8" s="203"/>
      <c r="B8" s="32" t="s">
        <v>107</v>
      </c>
      <c r="C8" s="29" t="s">
        <v>103</v>
      </c>
      <c r="D8" s="31">
        <v>2</v>
      </c>
      <c r="E8" s="31">
        <v>2</v>
      </c>
      <c r="F8" s="83" t="s">
        <v>67</v>
      </c>
      <c r="H8" s="96" t="s">
        <v>169</v>
      </c>
    </row>
    <row r="9" spans="1:10" s="64" customFormat="1" ht="14" customHeight="1" thickBot="1" x14ac:dyDescent="0.4">
      <c r="A9" s="204"/>
      <c r="B9" s="77" t="s">
        <v>108</v>
      </c>
      <c r="C9" s="78" t="s">
        <v>103</v>
      </c>
      <c r="D9" s="79">
        <v>2</v>
      </c>
      <c r="E9" s="78">
        <v>2</v>
      </c>
      <c r="F9" s="85" t="s">
        <v>67</v>
      </c>
      <c r="G9" s="93"/>
      <c r="H9" s="97" t="s">
        <v>170</v>
      </c>
    </row>
    <row r="10" spans="1:10" ht="13" customHeight="1" x14ac:dyDescent="0.35">
      <c r="A10" s="205">
        <v>2</v>
      </c>
      <c r="B10" s="72" t="s">
        <v>109</v>
      </c>
      <c r="C10" s="71" t="s">
        <v>103</v>
      </c>
      <c r="D10" s="73">
        <v>3</v>
      </c>
      <c r="E10" s="73">
        <v>3</v>
      </c>
      <c r="F10" s="86" t="s">
        <v>67</v>
      </c>
    </row>
    <row r="11" spans="1:10" s="64" customFormat="1" ht="13" customHeight="1" x14ac:dyDescent="0.35">
      <c r="A11" s="206"/>
      <c r="B11" s="66" t="s">
        <v>110</v>
      </c>
      <c r="C11" s="62" t="s">
        <v>103</v>
      </c>
      <c r="D11" s="62">
        <v>4</v>
      </c>
      <c r="E11" s="62">
        <v>4</v>
      </c>
      <c r="F11" s="87" t="s">
        <v>67</v>
      </c>
      <c r="G11" s="94"/>
      <c r="H11" s="97" t="s">
        <v>171</v>
      </c>
    </row>
    <row r="12" spans="1:10" ht="13" hidden="1" customHeight="1" x14ac:dyDescent="0.35">
      <c r="A12" s="206"/>
      <c r="B12" s="34" t="s">
        <v>111</v>
      </c>
      <c r="C12" s="29" t="s">
        <v>103</v>
      </c>
      <c r="D12" s="31">
        <v>2</v>
      </c>
      <c r="E12" s="31">
        <v>2</v>
      </c>
      <c r="F12" s="83" t="s">
        <v>66</v>
      </c>
    </row>
    <row r="13" spans="1:10" ht="13" hidden="1" customHeight="1" x14ac:dyDescent="0.35">
      <c r="A13" s="206"/>
      <c r="B13" s="35" t="s">
        <v>112</v>
      </c>
      <c r="C13" s="29" t="s">
        <v>103</v>
      </c>
      <c r="D13" s="31">
        <v>2</v>
      </c>
      <c r="E13" s="31">
        <v>2</v>
      </c>
      <c r="F13" s="83" t="s">
        <v>66</v>
      </c>
    </row>
    <row r="14" spans="1:10" ht="14" customHeight="1" x14ac:dyDescent="0.35">
      <c r="A14" s="206"/>
      <c r="B14" s="33" t="s">
        <v>113</v>
      </c>
      <c r="C14" s="29" t="s">
        <v>103</v>
      </c>
      <c r="D14" s="31">
        <v>2</v>
      </c>
      <c r="E14" s="31">
        <v>2</v>
      </c>
      <c r="F14" s="83" t="s">
        <v>67</v>
      </c>
    </row>
    <row r="15" spans="1:10" ht="13" hidden="1" customHeight="1" x14ac:dyDescent="0.35">
      <c r="A15" s="206"/>
      <c r="B15" s="36" t="s">
        <v>114</v>
      </c>
      <c r="C15" s="37" t="s">
        <v>115</v>
      </c>
      <c r="D15" s="38">
        <v>3</v>
      </c>
      <c r="E15" s="38">
        <v>3</v>
      </c>
      <c r="F15" s="88" t="s">
        <v>66</v>
      </c>
    </row>
    <row r="16" spans="1:10" ht="13" customHeight="1" x14ac:dyDescent="0.35">
      <c r="A16" s="206"/>
      <c r="B16" s="39" t="s">
        <v>116</v>
      </c>
      <c r="C16" s="37" t="s">
        <v>115</v>
      </c>
      <c r="D16" s="38">
        <v>3</v>
      </c>
      <c r="E16" s="38">
        <v>3</v>
      </c>
      <c r="F16" s="88" t="s">
        <v>67</v>
      </c>
    </row>
    <row r="17" spans="1:8" ht="29" hidden="1" x14ac:dyDescent="0.35">
      <c r="A17" s="206"/>
      <c r="B17" s="26" t="s">
        <v>117</v>
      </c>
      <c r="C17" s="27" t="s">
        <v>100</v>
      </c>
      <c r="D17" s="28" t="s">
        <v>101</v>
      </c>
      <c r="E17" s="28" t="s">
        <v>101</v>
      </c>
      <c r="F17" s="89"/>
    </row>
    <row r="18" spans="1:8" ht="29" hidden="1" x14ac:dyDescent="0.35">
      <c r="A18" s="206">
        <v>3</v>
      </c>
      <c r="B18" s="40" t="s">
        <v>118</v>
      </c>
      <c r="C18" s="41" t="s">
        <v>119</v>
      </c>
      <c r="D18" s="42">
        <v>3</v>
      </c>
      <c r="E18" s="42"/>
      <c r="F18" s="90" t="s">
        <v>66</v>
      </c>
    </row>
    <row r="19" spans="1:8" hidden="1" x14ac:dyDescent="0.35">
      <c r="A19" s="206"/>
      <c r="B19" s="40" t="s">
        <v>120</v>
      </c>
      <c r="C19" s="41" t="s">
        <v>119</v>
      </c>
      <c r="D19" s="42">
        <v>3</v>
      </c>
      <c r="E19" s="42"/>
      <c r="F19" s="90" t="s">
        <v>66</v>
      </c>
    </row>
    <row r="20" spans="1:8" hidden="1" x14ac:dyDescent="0.35">
      <c r="A20" s="206"/>
      <c r="B20" s="40" t="s">
        <v>121</v>
      </c>
      <c r="C20" s="41" t="s">
        <v>119</v>
      </c>
      <c r="D20" s="42">
        <v>3</v>
      </c>
      <c r="E20" s="42"/>
      <c r="F20" s="90" t="s">
        <v>66</v>
      </c>
    </row>
    <row r="21" spans="1:8" x14ac:dyDescent="0.35">
      <c r="A21" s="206"/>
      <c r="B21" s="43" t="s">
        <v>122</v>
      </c>
      <c r="C21" s="41" t="s">
        <v>119</v>
      </c>
      <c r="D21" s="42">
        <v>3</v>
      </c>
      <c r="E21" s="42"/>
      <c r="F21" s="90" t="s">
        <v>67</v>
      </c>
    </row>
    <row r="22" spans="1:8" s="64" customFormat="1" x14ac:dyDescent="0.35">
      <c r="A22" s="206"/>
      <c r="B22" s="65" t="s">
        <v>123</v>
      </c>
      <c r="C22" s="62" t="s">
        <v>119</v>
      </c>
      <c r="D22" s="63">
        <v>3</v>
      </c>
      <c r="E22" s="63"/>
      <c r="F22" s="84" t="s">
        <v>67</v>
      </c>
      <c r="G22" s="93" t="s">
        <v>166</v>
      </c>
      <c r="H22" s="97"/>
    </row>
    <row r="23" spans="1:8" hidden="1" x14ac:dyDescent="0.35">
      <c r="A23" s="206"/>
      <c r="B23" s="44" t="s">
        <v>124</v>
      </c>
      <c r="C23" s="45" t="s">
        <v>119</v>
      </c>
      <c r="D23" s="46"/>
      <c r="E23" s="46">
        <v>3</v>
      </c>
      <c r="F23" s="91" t="s">
        <v>66</v>
      </c>
    </row>
    <row r="24" spans="1:8" hidden="1" x14ac:dyDescent="0.35">
      <c r="A24" s="206"/>
      <c r="B24" s="47" t="s">
        <v>125</v>
      </c>
      <c r="C24" s="45" t="s">
        <v>119</v>
      </c>
      <c r="D24" s="46"/>
      <c r="E24" s="46">
        <v>2</v>
      </c>
      <c r="F24" s="91" t="s">
        <v>66</v>
      </c>
    </row>
    <row r="25" spans="1:8" hidden="1" x14ac:dyDescent="0.35">
      <c r="A25" s="206"/>
      <c r="B25" s="44" t="s">
        <v>126</v>
      </c>
      <c r="C25" s="45" t="s">
        <v>119</v>
      </c>
      <c r="D25" s="46"/>
      <c r="E25" s="46">
        <v>3</v>
      </c>
      <c r="F25" s="91" t="s">
        <v>66</v>
      </c>
    </row>
    <row r="26" spans="1:8" x14ac:dyDescent="0.35">
      <c r="A26" s="206"/>
      <c r="B26" s="48" t="s">
        <v>127</v>
      </c>
      <c r="C26" s="45" t="s">
        <v>119</v>
      </c>
      <c r="D26" s="46"/>
      <c r="E26" s="46">
        <v>3</v>
      </c>
      <c r="F26" s="91" t="s">
        <v>67</v>
      </c>
    </row>
    <row r="27" spans="1:8" hidden="1" x14ac:dyDescent="0.35">
      <c r="A27" s="206"/>
      <c r="B27" s="47" t="s">
        <v>128</v>
      </c>
      <c r="C27" s="45" t="s">
        <v>119</v>
      </c>
      <c r="D27" s="46"/>
      <c r="E27" s="46">
        <v>2</v>
      </c>
      <c r="F27" s="91" t="s">
        <v>66</v>
      </c>
    </row>
    <row r="28" spans="1:8" x14ac:dyDescent="0.35">
      <c r="A28" s="206"/>
      <c r="B28" s="49" t="s">
        <v>129</v>
      </c>
      <c r="C28" s="45" t="s">
        <v>119</v>
      </c>
      <c r="D28" s="46"/>
      <c r="E28" s="46">
        <v>3</v>
      </c>
      <c r="F28" s="91" t="s">
        <v>67</v>
      </c>
    </row>
    <row r="29" spans="1:8" hidden="1" x14ac:dyDescent="0.35">
      <c r="A29" s="206"/>
      <c r="B29" s="50" t="s">
        <v>130</v>
      </c>
      <c r="C29" s="37" t="s">
        <v>115</v>
      </c>
      <c r="D29" s="38">
        <v>1</v>
      </c>
      <c r="E29" s="38">
        <v>1</v>
      </c>
      <c r="F29" s="88" t="s">
        <v>66</v>
      </c>
    </row>
    <row r="30" spans="1:8" hidden="1" x14ac:dyDescent="0.35">
      <c r="A30" s="206"/>
      <c r="B30" s="36" t="s">
        <v>131</v>
      </c>
      <c r="C30" s="37" t="s">
        <v>115</v>
      </c>
      <c r="D30" s="38">
        <v>2</v>
      </c>
      <c r="E30" s="38">
        <v>2</v>
      </c>
      <c r="F30" s="88" t="s">
        <v>66</v>
      </c>
    </row>
    <row r="31" spans="1:8" ht="29" hidden="1" x14ac:dyDescent="0.35">
      <c r="A31" s="206"/>
      <c r="B31" s="26" t="s">
        <v>132</v>
      </c>
      <c r="C31" s="27" t="s">
        <v>100</v>
      </c>
      <c r="D31" s="28" t="s">
        <v>101</v>
      </c>
      <c r="E31" s="28" t="s">
        <v>101</v>
      </c>
      <c r="F31" s="89"/>
    </row>
    <row r="32" spans="1:8" hidden="1" x14ac:dyDescent="0.35">
      <c r="A32" s="206">
        <v>4</v>
      </c>
      <c r="B32" s="51" t="s">
        <v>133</v>
      </c>
      <c r="C32" s="41" t="s">
        <v>119</v>
      </c>
      <c r="D32" s="42">
        <v>1</v>
      </c>
      <c r="E32" s="42"/>
      <c r="F32" s="90" t="s">
        <v>66</v>
      </c>
    </row>
    <row r="33" spans="1:6" hidden="1" x14ac:dyDescent="0.35">
      <c r="A33" s="206"/>
      <c r="B33" s="51" t="s">
        <v>134</v>
      </c>
      <c r="C33" s="41" t="s">
        <v>119</v>
      </c>
      <c r="D33" s="42">
        <v>2</v>
      </c>
      <c r="E33" s="42"/>
      <c r="F33" s="90" t="s">
        <v>66</v>
      </c>
    </row>
    <row r="34" spans="1:6" hidden="1" x14ac:dyDescent="0.35">
      <c r="A34" s="206"/>
      <c r="B34" s="51" t="s">
        <v>135</v>
      </c>
      <c r="C34" s="41" t="s">
        <v>119</v>
      </c>
      <c r="D34" s="42">
        <v>2</v>
      </c>
      <c r="E34" s="42"/>
      <c r="F34" s="90" t="s">
        <v>66</v>
      </c>
    </row>
    <row r="35" spans="1:6" ht="29" hidden="1" x14ac:dyDescent="0.35">
      <c r="A35" s="206"/>
      <c r="B35" s="51" t="s">
        <v>136</v>
      </c>
      <c r="C35" s="41" t="s">
        <v>119</v>
      </c>
      <c r="D35" s="42">
        <v>2</v>
      </c>
      <c r="E35" s="42"/>
      <c r="F35" s="90" t="s">
        <v>66</v>
      </c>
    </row>
    <row r="36" spans="1:6" x14ac:dyDescent="0.35">
      <c r="A36" s="206"/>
      <c r="B36" s="52" t="s">
        <v>137</v>
      </c>
      <c r="C36" s="41" t="s">
        <v>119</v>
      </c>
      <c r="D36" s="42">
        <v>3</v>
      </c>
      <c r="E36" s="42"/>
      <c r="F36" s="90" t="s">
        <v>67</v>
      </c>
    </row>
    <row r="37" spans="1:6" x14ac:dyDescent="0.35">
      <c r="A37" s="206"/>
      <c r="B37" s="52" t="s">
        <v>138</v>
      </c>
      <c r="C37" s="41" t="s">
        <v>119</v>
      </c>
      <c r="D37" s="42">
        <v>3</v>
      </c>
      <c r="E37" s="42"/>
      <c r="F37" s="90" t="s">
        <v>67</v>
      </c>
    </row>
    <row r="38" spans="1:6" x14ac:dyDescent="0.35">
      <c r="A38" s="206"/>
      <c r="B38" s="52" t="s">
        <v>139</v>
      </c>
      <c r="C38" s="41" t="s">
        <v>119</v>
      </c>
      <c r="D38" s="42">
        <v>2</v>
      </c>
      <c r="E38" s="42"/>
      <c r="F38" s="90" t="s">
        <v>67</v>
      </c>
    </row>
    <row r="39" spans="1:6" hidden="1" x14ac:dyDescent="0.35">
      <c r="A39" s="206"/>
      <c r="B39" s="44" t="s">
        <v>140</v>
      </c>
      <c r="C39" s="45" t="s">
        <v>119</v>
      </c>
      <c r="D39" s="46"/>
      <c r="E39" s="46">
        <v>2</v>
      </c>
      <c r="F39" s="91" t="s">
        <v>66</v>
      </c>
    </row>
    <row r="40" spans="1:6" hidden="1" x14ac:dyDescent="0.35">
      <c r="A40" s="206"/>
      <c r="B40" s="44" t="s">
        <v>141</v>
      </c>
      <c r="C40" s="45" t="s">
        <v>119</v>
      </c>
      <c r="D40" s="46"/>
      <c r="E40" s="46">
        <v>2</v>
      </c>
      <c r="F40" s="91" t="s">
        <v>66</v>
      </c>
    </row>
    <row r="41" spans="1:6" x14ac:dyDescent="0.35">
      <c r="A41" s="206"/>
      <c r="B41" s="49" t="s">
        <v>142</v>
      </c>
      <c r="C41" s="45" t="s">
        <v>119</v>
      </c>
      <c r="D41" s="46"/>
      <c r="E41" s="46">
        <v>2</v>
      </c>
      <c r="F41" s="91" t="s">
        <v>67</v>
      </c>
    </row>
    <row r="42" spans="1:6" x14ac:dyDescent="0.35">
      <c r="A42" s="206"/>
      <c r="B42" s="48" t="s">
        <v>143</v>
      </c>
      <c r="C42" s="45" t="s">
        <v>119</v>
      </c>
      <c r="D42" s="46"/>
      <c r="E42" s="46">
        <v>2</v>
      </c>
      <c r="F42" s="91" t="s">
        <v>67</v>
      </c>
    </row>
    <row r="43" spans="1:6" hidden="1" x14ac:dyDescent="0.35">
      <c r="A43" s="206"/>
      <c r="B43" s="47" t="s">
        <v>144</v>
      </c>
      <c r="C43" s="45" t="s">
        <v>119</v>
      </c>
      <c r="D43" s="46"/>
      <c r="E43" s="46">
        <v>2</v>
      </c>
      <c r="F43" s="91" t="s">
        <v>66</v>
      </c>
    </row>
    <row r="44" spans="1:6" x14ac:dyDescent="0.35">
      <c r="A44" s="206"/>
      <c r="B44" s="48" t="s">
        <v>145</v>
      </c>
      <c r="C44" s="45" t="s">
        <v>119</v>
      </c>
      <c r="D44" s="46"/>
      <c r="E44" s="46">
        <v>2</v>
      </c>
      <c r="F44" s="91" t="s">
        <v>67</v>
      </c>
    </row>
    <row r="45" spans="1:6" x14ac:dyDescent="0.35">
      <c r="A45" s="206"/>
      <c r="B45" s="48" t="s">
        <v>146</v>
      </c>
      <c r="C45" s="45" t="s">
        <v>119</v>
      </c>
      <c r="D45" s="46"/>
      <c r="E45" s="46">
        <v>2</v>
      </c>
      <c r="F45" s="91" t="s">
        <v>67</v>
      </c>
    </row>
    <row r="46" spans="1:6" hidden="1" x14ac:dyDescent="0.35">
      <c r="A46" s="206"/>
      <c r="B46" s="36" t="s">
        <v>147</v>
      </c>
      <c r="C46" s="37" t="s">
        <v>115</v>
      </c>
      <c r="D46" s="38">
        <v>1</v>
      </c>
      <c r="E46" s="38">
        <v>1</v>
      </c>
      <c r="F46" s="88" t="s">
        <v>66</v>
      </c>
    </row>
    <row r="47" spans="1:6" hidden="1" x14ac:dyDescent="0.35">
      <c r="A47" s="206"/>
      <c r="B47" s="53" t="s">
        <v>148</v>
      </c>
      <c r="C47" s="37" t="s">
        <v>115</v>
      </c>
      <c r="D47" s="38">
        <v>2</v>
      </c>
      <c r="E47" s="38">
        <v>2</v>
      </c>
      <c r="F47" s="88" t="s">
        <v>66</v>
      </c>
    </row>
    <row r="48" spans="1:6" ht="29" hidden="1" x14ac:dyDescent="0.35">
      <c r="A48" s="206">
        <v>5</v>
      </c>
      <c r="B48" s="26" t="s">
        <v>132</v>
      </c>
      <c r="C48" s="27" t="s">
        <v>100</v>
      </c>
      <c r="D48" s="28" t="s">
        <v>101</v>
      </c>
      <c r="E48" s="28" t="s">
        <v>101</v>
      </c>
      <c r="F48" s="89"/>
    </row>
    <row r="49" spans="1:6" hidden="1" x14ac:dyDescent="0.35">
      <c r="A49" s="206"/>
      <c r="B49" s="207" t="s">
        <v>63</v>
      </c>
      <c r="C49" s="207"/>
      <c r="D49" s="208">
        <v>40</v>
      </c>
      <c r="E49" s="208">
        <v>40</v>
      </c>
      <c r="F49" s="209"/>
    </row>
    <row r="50" spans="1:6" hidden="1" x14ac:dyDescent="0.35">
      <c r="A50" s="29">
        <v>6</v>
      </c>
      <c r="B50" s="207" t="s">
        <v>63</v>
      </c>
      <c r="C50" s="207"/>
      <c r="D50" s="208"/>
      <c r="E50" s="208"/>
      <c r="F50" s="209"/>
    </row>
    <row r="51" spans="1:6" ht="16" hidden="1" x14ac:dyDescent="0.35">
      <c r="A51" s="54"/>
      <c r="B51" s="54" t="s">
        <v>149</v>
      </c>
      <c r="C51" s="54"/>
      <c r="D51" s="55">
        <f>SUM(D2:D50)</f>
        <v>112</v>
      </c>
      <c r="E51" s="55">
        <f>SUM(E2:E50)</f>
        <v>112</v>
      </c>
      <c r="F51" s="92"/>
    </row>
    <row r="54" spans="1:6" x14ac:dyDescent="0.35">
      <c r="C54" s="96"/>
    </row>
    <row r="55" spans="1:6" x14ac:dyDescent="0.35">
      <c r="C55" s="96"/>
    </row>
    <row r="56" spans="1:6" x14ac:dyDescent="0.35">
      <c r="C56" s="96"/>
    </row>
    <row r="57" spans="1:6" x14ac:dyDescent="0.35">
      <c r="C57" s="96"/>
    </row>
  </sheetData>
  <autoFilter ref="A2:J51" xr:uid="{F388F2AC-9251-4DC0-9B6E-A5156D085427}">
    <filterColumn colId="5">
      <filters>
        <filter val="USTU"/>
      </filters>
    </filterColumn>
  </autoFilter>
  <mergeCells count="10">
    <mergeCell ref="B49:C49"/>
    <mergeCell ref="D49:D50"/>
    <mergeCell ref="E49:E50"/>
    <mergeCell ref="F49:F50"/>
    <mergeCell ref="B50:C50"/>
    <mergeCell ref="A3:A9"/>
    <mergeCell ref="A10:A17"/>
    <mergeCell ref="A18:A31"/>
    <mergeCell ref="A32:A47"/>
    <mergeCell ref="A48:A49"/>
  </mergeCells>
  <dataValidations disablePrompts="1" count="1">
    <dataValidation type="list" allowBlank="1" showInputMessage="1" showErrorMessage="1" sqref="C52:C1048576" xr:uid="{FE1714E3-EA86-42A5-BB5F-2A5CDD20589C}">
      <formula1>"Core, Specalization"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CFEB-989E-4ED2-9BE8-73E5D09F1F08}">
  <sheetPr>
    <pageSetUpPr fitToPage="1"/>
  </sheetPr>
  <dimension ref="A1:DK135"/>
  <sheetViews>
    <sheetView tabSelected="1" zoomScale="55" zoomScaleNormal="55" workbookViewId="0">
      <selection activeCell="E137" sqref="E137"/>
    </sheetView>
  </sheetViews>
  <sheetFormatPr defaultRowHeight="19" customHeight="1" outlineLevelRow="1" x14ac:dyDescent="0.35"/>
  <cols>
    <col min="1" max="1" width="27.453125" style="268" customWidth="1"/>
    <col min="2" max="2" width="14.1796875" style="268" customWidth="1"/>
    <col min="3" max="3" width="97.54296875" style="2" customWidth="1"/>
    <col min="4" max="4" width="15.7265625" style="23" customWidth="1"/>
    <col min="5" max="5" width="33.81640625" style="98" customWidth="1"/>
    <col min="6" max="6" width="17.08984375" customWidth="1"/>
    <col min="7" max="7" width="14.36328125" style="1" customWidth="1"/>
    <col min="8" max="8" width="16.26953125" style="1" customWidth="1"/>
    <col min="9" max="9" width="27.36328125" style="251" customWidth="1"/>
    <col min="10" max="10" width="11.90625" style="252" customWidth="1"/>
    <col min="11" max="11" width="6.54296875" style="252" customWidth="1"/>
    <col min="12" max="86" width="8.7265625" style="252"/>
  </cols>
  <sheetData>
    <row r="1" spans="1:114" s="152" customFormat="1" ht="55" customHeight="1" x14ac:dyDescent="0.35">
      <c r="A1" s="112" t="s">
        <v>306</v>
      </c>
      <c r="B1" s="112" t="s">
        <v>307</v>
      </c>
      <c r="C1" s="112" t="s">
        <v>69</v>
      </c>
      <c r="D1" s="153" t="s">
        <v>232</v>
      </c>
      <c r="E1" s="112" t="s">
        <v>92</v>
      </c>
      <c r="F1" s="112" t="s">
        <v>90</v>
      </c>
      <c r="G1" s="112" t="s">
        <v>87</v>
      </c>
      <c r="H1" s="151" t="s">
        <v>86</v>
      </c>
      <c r="I1" s="249" t="s">
        <v>88</v>
      </c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  <c r="AS1" s="250"/>
      <c r="AT1" s="250"/>
      <c r="AU1" s="250"/>
      <c r="AV1" s="250"/>
      <c r="AW1" s="250"/>
      <c r="AX1" s="250"/>
      <c r="AY1" s="250"/>
      <c r="AZ1" s="250"/>
      <c r="BA1" s="250"/>
      <c r="BB1" s="250"/>
      <c r="BC1" s="250"/>
      <c r="BD1" s="250"/>
      <c r="BE1" s="250"/>
      <c r="BF1" s="250"/>
      <c r="BG1" s="250"/>
      <c r="BH1" s="250"/>
      <c r="BI1" s="250"/>
      <c r="BJ1" s="250"/>
      <c r="BK1" s="250"/>
      <c r="BL1" s="250"/>
      <c r="BM1" s="250"/>
      <c r="BN1" s="250"/>
      <c r="BO1" s="250"/>
      <c r="BP1" s="250"/>
      <c r="BQ1" s="250"/>
      <c r="BR1" s="250"/>
      <c r="BS1" s="250"/>
      <c r="BT1" s="250"/>
      <c r="BU1" s="250"/>
      <c r="BV1" s="250"/>
      <c r="BW1" s="250"/>
      <c r="BX1" s="250"/>
      <c r="BY1" s="250"/>
      <c r="BZ1" s="250"/>
      <c r="CA1" s="250"/>
      <c r="CB1" s="250"/>
      <c r="CC1" s="250"/>
      <c r="CD1" s="250"/>
      <c r="CE1" s="250"/>
      <c r="CF1" s="250"/>
      <c r="CG1" s="250"/>
      <c r="CH1" s="250"/>
    </row>
    <row r="2" spans="1:114" s="122" customFormat="1" ht="30" customHeight="1" x14ac:dyDescent="0.35">
      <c r="A2" s="273" t="s">
        <v>316</v>
      </c>
      <c r="B2" s="269">
        <v>1</v>
      </c>
      <c r="C2" s="119" t="s">
        <v>207</v>
      </c>
      <c r="D2" s="119"/>
      <c r="E2" s="126"/>
      <c r="F2" s="120"/>
      <c r="G2" s="174">
        <v>46264</v>
      </c>
      <c r="H2" s="127"/>
      <c r="I2" s="251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  <c r="X2" s="252"/>
      <c r="Y2" s="252"/>
      <c r="Z2" s="252"/>
      <c r="AA2" s="252"/>
      <c r="AB2" s="252"/>
      <c r="AC2" s="252"/>
      <c r="AD2" s="252"/>
      <c r="AE2" s="252"/>
      <c r="AF2" s="252"/>
      <c r="AG2" s="252"/>
      <c r="AH2" s="252"/>
      <c r="AI2" s="252"/>
      <c r="AJ2" s="252"/>
      <c r="AK2" s="252"/>
      <c r="AL2" s="252"/>
      <c r="AM2" s="252"/>
      <c r="AN2" s="252"/>
      <c r="AO2" s="252"/>
      <c r="AP2" s="252"/>
      <c r="AQ2" s="252"/>
      <c r="AR2" s="252"/>
      <c r="AS2" s="252"/>
      <c r="AT2" s="252"/>
      <c r="AU2" s="252"/>
      <c r="AV2" s="252"/>
      <c r="AW2" s="252"/>
      <c r="AX2" s="252"/>
      <c r="AY2" s="252"/>
      <c r="AZ2" s="252"/>
      <c r="BA2" s="252"/>
      <c r="BB2" s="252"/>
      <c r="BC2" s="252"/>
      <c r="BD2" s="252"/>
      <c r="BE2" s="252"/>
      <c r="BF2" s="252"/>
      <c r="BG2" s="252"/>
      <c r="BH2" s="252"/>
      <c r="BI2" s="252"/>
      <c r="BJ2" s="252"/>
      <c r="BK2" s="252"/>
      <c r="BL2" s="252"/>
      <c r="BM2" s="252"/>
      <c r="BN2" s="252"/>
      <c r="BO2" s="252"/>
      <c r="BP2" s="252"/>
      <c r="BQ2" s="252"/>
      <c r="BR2" s="252"/>
      <c r="BS2" s="252"/>
      <c r="BT2" s="252"/>
      <c r="BU2" s="252"/>
      <c r="BV2" s="252"/>
      <c r="BW2" s="252"/>
      <c r="BX2" s="252"/>
      <c r="BY2" s="252"/>
      <c r="BZ2" s="252"/>
      <c r="CA2" s="252"/>
      <c r="CB2" s="252"/>
      <c r="CC2" s="252"/>
      <c r="CD2" s="252"/>
      <c r="CE2" s="252"/>
      <c r="CF2" s="252"/>
      <c r="CG2" s="252"/>
      <c r="CH2" s="25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</row>
    <row r="3" spans="1:114" ht="19" customHeight="1" x14ac:dyDescent="0.35">
      <c r="A3" s="274"/>
      <c r="B3" s="255"/>
      <c r="C3" s="109" t="s">
        <v>180</v>
      </c>
      <c r="D3" s="21"/>
      <c r="E3" s="21"/>
      <c r="F3" s="17"/>
      <c r="G3" s="166">
        <v>46264</v>
      </c>
      <c r="H3" s="128"/>
    </row>
    <row r="4" spans="1:114" s="134" customFormat="1" ht="13" customHeight="1" outlineLevel="1" x14ac:dyDescent="0.35">
      <c r="A4" s="274"/>
      <c r="B4" s="256"/>
      <c r="C4" s="175" t="s">
        <v>199</v>
      </c>
      <c r="D4" s="144"/>
      <c r="E4" s="144"/>
      <c r="F4" s="165"/>
      <c r="G4" s="167"/>
      <c r="H4" s="133" t="s">
        <v>173</v>
      </c>
      <c r="I4" s="251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G4" s="252"/>
      <c r="AH4" s="252"/>
      <c r="AI4" s="252"/>
      <c r="AJ4" s="252"/>
      <c r="AK4" s="252"/>
      <c r="AL4" s="252"/>
      <c r="AM4" s="252"/>
      <c r="AN4" s="252"/>
      <c r="AO4" s="252"/>
      <c r="AP4" s="252"/>
      <c r="AQ4" s="252"/>
      <c r="AR4" s="252"/>
      <c r="AS4" s="252"/>
      <c r="AT4" s="252"/>
      <c r="AU4" s="252"/>
      <c r="AV4" s="252"/>
      <c r="AW4" s="252"/>
      <c r="AX4" s="252"/>
      <c r="AY4" s="252"/>
      <c r="AZ4" s="252"/>
      <c r="BA4" s="252"/>
      <c r="BB4" s="252"/>
      <c r="BC4" s="252"/>
      <c r="BD4" s="252"/>
      <c r="BE4" s="252"/>
      <c r="BF4" s="252"/>
      <c r="BG4" s="252"/>
      <c r="BH4" s="252"/>
      <c r="BI4" s="252"/>
      <c r="BJ4" s="252"/>
      <c r="BK4" s="252"/>
      <c r="BL4" s="252"/>
      <c r="BM4" s="252"/>
      <c r="BN4" s="252"/>
      <c r="BO4" s="252"/>
      <c r="BP4" s="252"/>
      <c r="BQ4" s="252"/>
      <c r="BR4" s="252"/>
      <c r="BS4" s="252"/>
      <c r="BT4" s="252"/>
      <c r="BU4" s="252"/>
      <c r="BV4" s="252"/>
      <c r="BW4" s="252"/>
      <c r="BX4" s="252"/>
      <c r="BY4" s="252"/>
      <c r="BZ4" s="252"/>
      <c r="CA4" s="252"/>
      <c r="CB4" s="252"/>
      <c r="CC4" s="252"/>
      <c r="CD4" s="252"/>
      <c r="CE4" s="252"/>
      <c r="CF4" s="252"/>
      <c r="CG4" s="252"/>
      <c r="CH4" s="252"/>
    </row>
    <row r="5" spans="1:114" ht="22.5" customHeight="1" outlineLevel="1" x14ac:dyDescent="0.35">
      <c r="A5" s="274"/>
      <c r="B5" s="163"/>
      <c r="C5" s="176" t="s">
        <v>235</v>
      </c>
      <c r="D5" s="108"/>
      <c r="E5" s="108"/>
      <c r="F5" s="101"/>
      <c r="G5" s="166"/>
      <c r="H5" s="128"/>
    </row>
    <row r="6" spans="1:114" ht="14" customHeight="1" outlineLevel="1" x14ac:dyDescent="0.35">
      <c r="A6" s="274"/>
      <c r="B6" s="163"/>
      <c r="C6" s="176" t="s">
        <v>197</v>
      </c>
      <c r="D6" s="108"/>
      <c r="E6" s="108"/>
      <c r="F6" s="101"/>
      <c r="G6" s="166"/>
      <c r="H6" s="128"/>
    </row>
    <row r="7" spans="1:114" ht="14" customHeight="1" outlineLevel="1" x14ac:dyDescent="0.35">
      <c r="A7" s="274"/>
      <c r="B7" s="163"/>
      <c r="C7" s="176" t="s">
        <v>198</v>
      </c>
      <c r="D7" s="108"/>
      <c r="E7" s="108"/>
      <c r="F7" s="101"/>
      <c r="G7" s="166"/>
      <c r="H7" s="128"/>
    </row>
    <row r="8" spans="1:114" ht="14" customHeight="1" outlineLevel="1" x14ac:dyDescent="0.35">
      <c r="A8" s="274"/>
      <c r="B8" s="163"/>
      <c r="C8" s="176" t="s">
        <v>224</v>
      </c>
      <c r="D8" s="108"/>
      <c r="E8" s="108"/>
      <c r="F8" s="101"/>
      <c r="G8" s="166"/>
      <c r="H8" s="128"/>
    </row>
    <row r="9" spans="1:114" ht="14" customHeight="1" outlineLevel="1" x14ac:dyDescent="0.35">
      <c r="A9" s="274"/>
      <c r="B9" s="163"/>
      <c r="C9" s="176" t="s">
        <v>236</v>
      </c>
      <c r="D9" s="108"/>
      <c r="E9" s="108"/>
      <c r="F9" s="101"/>
      <c r="G9" s="166"/>
      <c r="H9" s="128"/>
    </row>
    <row r="10" spans="1:114" ht="18" customHeight="1" x14ac:dyDescent="0.35">
      <c r="A10" s="274"/>
      <c r="B10" s="163"/>
      <c r="C10" s="110" t="s">
        <v>181</v>
      </c>
      <c r="D10" s="108"/>
      <c r="E10" s="108"/>
      <c r="F10" s="101"/>
      <c r="G10" s="166">
        <v>46264</v>
      </c>
      <c r="H10" s="128"/>
    </row>
    <row r="11" spans="1:114" s="134" customFormat="1" ht="11" customHeight="1" outlineLevel="1" x14ac:dyDescent="0.35">
      <c r="A11" s="274"/>
      <c r="B11" s="256"/>
      <c r="C11" s="175" t="s">
        <v>199</v>
      </c>
      <c r="D11" s="144"/>
      <c r="E11" s="144"/>
      <c r="F11" s="165"/>
      <c r="G11" s="168"/>
      <c r="H11" s="133" t="s">
        <v>173</v>
      </c>
      <c r="I11" s="251"/>
      <c r="J11" s="252"/>
      <c r="K11" s="252"/>
      <c r="L11" s="252"/>
      <c r="M11" s="252"/>
      <c r="N11" s="252"/>
      <c r="O11" s="252"/>
      <c r="P11" s="252"/>
      <c r="Q11" s="252"/>
      <c r="R11" s="252"/>
      <c r="S11" s="252"/>
      <c r="T11" s="252"/>
      <c r="U11" s="252"/>
      <c r="V11" s="252"/>
      <c r="W11" s="252"/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2"/>
      <c r="AQ11" s="252"/>
      <c r="AR11" s="252"/>
      <c r="AS11" s="252"/>
      <c r="AT11" s="252"/>
      <c r="AU11" s="252"/>
      <c r="AV11" s="252"/>
      <c r="AW11" s="252"/>
      <c r="AX11" s="252"/>
      <c r="AY11" s="252"/>
      <c r="AZ11" s="252"/>
      <c r="BA11" s="252"/>
      <c r="BB11" s="252"/>
      <c r="BC11" s="252"/>
      <c r="BD11" s="252"/>
      <c r="BE11" s="252"/>
      <c r="BF11" s="252"/>
      <c r="BG11" s="252"/>
      <c r="BH11" s="252"/>
      <c r="BI11" s="252"/>
      <c r="BJ11" s="252"/>
      <c r="BK11" s="252"/>
      <c r="BL11" s="252"/>
      <c r="BM11" s="252"/>
      <c r="BN11" s="252"/>
      <c r="BO11" s="252"/>
      <c r="BP11" s="252"/>
      <c r="BQ11" s="252"/>
      <c r="BR11" s="252"/>
      <c r="BS11" s="252"/>
      <c r="BT11" s="252"/>
      <c r="BU11" s="252"/>
      <c r="BV11" s="252"/>
      <c r="BW11" s="252"/>
      <c r="BX11" s="252"/>
      <c r="BY11" s="252"/>
      <c r="BZ11" s="252"/>
      <c r="CA11" s="252"/>
      <c r="CB11" s="252"/>
      <c r="CC11" s="252"/>
      <c r="CD11" s="252"/>
      <c r="CE11" s="252"/>
      <c r="CF11" s="252"/>
      <c r="CG11" s="252"/>
      <c r="CH11" s="252"/>
    </row>
    <row r="12" spans="1:114" ht="27.5" customHeight="1" outlineLevel="1" x14ac:dyDescent="0.35">
      <c r="A12" s="274"/>
      <c r="B12" s="163"/>
      <c r="C12" s="176" t="s">
        <v>235</v>
      </c>
      <c r="D12" s="108"/>
      <c r="E12" s="108"/>
      <c r="F12" s="101"/>
      <c r="G12" s="166"/>
      <c r="H12" s="128"/>
    </row>
    <row r="13" spans="1:114" ht="14" customHeight="1" outlineLevel="1" x14ac:dyDescent="0.35">
      <c r="A13" s="274"/>
      <c r="B13" s="163"/>
      <c r="C13" s="176" t="s">
        <v>197</v>
      </c>
      <c r="D13" s="108"/>
      <c r="E13" s="108"/>
      <c r="F13" s="101"/>
      <c r="G13" s="166"/>
      <c r="H13" s="128"/>
    </row>
    <row r="14" spans="1:114" ht="14" customHeight="1" outlineLevel="1" x14ac:dyDescent="0.35">
      <c r="A14" s="274"/>
      <c r="B14" s="163"/>
      <c r="C14" s="176" t="s">
        <v>198</v>
      </c>
      <c r="D14" s="108"/>
      <c r="E14" s="108"/>
      <c r="F14" s="101"/>
      <c r="G14" s="166"/>
      <c r="H14" s="128"/>
    </row>
    <row r="15" spans="1:114" ht="14" customHeight="1" outlineLevel="1" x14ac:dyDescent="0.35">
      <c r="A15" s="274"/>
      <c r="B15" s="163"/>
      <c r="C15" s="176" t="s">
        <v>224</v>
      </c>
      <c r="D15" s="108"/>
      <c r="E15" s="108"/>
      <c r="F15" s="101"/>
      <c r="G15" s="166"/>
      <c r="H15" s="128"/>
    </row>
    <row r="16" spans="1:114" ht="14" customHeight="1" outlineLevel="1" x14ac:dyDescent="0.35">
      <c r="A16" s="274"/>
      <c r="B16" s="163"/>
      <c r="C16" s="176" t="s">
        <v>236</v>
      </c>
      <c r="D16" s="108"/>
      <c r="E16" s="108"/>
      <c r="F16" s="101"/>
      <c r="G16" s="166"/>
      <c r="H16" s="128"/>
    </row>
    <row r="17" spans="1:86" ht="12" customHeight="1" x14ac:dyDescent="0.35">
      <c r="A17" s="274"/>
      <c r="B17" s="163"/>
      <c r="C17" s="110" t="s">
        <v>182</v>
      </c>
      <c r="D17" s="108"/>
      <c r="E17" s="108"/>
      <c r="F17" s="101"/>
      <c r="G17" s="166">
        <v>46264</v>
      </c>
      <c r="H17" s="128"/>
    </row>
    <row r="18" spans="1:86" s="134" customFormat="1" ht="12" customHeight="1" x14ac:dyDescent="0.35">
      <c r="A18" s="274"/>
      <c r="B18" s="256"/>
      <c r="C18" s="175" t="s">
        <v>199</v>
      </c>
      <c r="D18" s="144"/>
      <c r="E18" s="144"/>
      <c r="F18" s="165"/>
      <c r="G18" s="168"/>
      <c r="H18" s="133" t="s">
        <v>173</v>
      </c>
      <c r="I18" s="251"/>
      <c r="J18" s="252"/>
      <c r="K18" s="252"/>
      <c r="L18" s="252"/>
      <c r="M18" s="252"/>
      <c r="N18" s="252"/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Z18" s="252"/>
      <c r="AA18" s="252"/>
      <c r="AB18" s="252"/>
      <c r="AC18" s="252"/>
      <c r="AD18" s="252"/>
      <c r="AE18" s="252"/>
      <c r="AF18" s="252"/>
      <c r="AG18" s="252"/>
      <c r="AH18" s="252"/>
      <c r="AI18" s="252"/>
      <c r="AJ18" s="252"/>
      <c r="AK18" s="252"/>
      <c r="AL18" s="252"/>
      <c r="AM18" s="252"/>
      <c r="AN18" s="252"/>
      <c r="AO18" s="252"/>
      <c r="AP18" s="252"/>
      <c r="AQ18" s="252"/>
      <c r="AR18" s="252"/>
      <c r="AS18" s="252"/>
      <c r="AT18" s="252"/>
      <c r="AU18" s="252"/>
      <c r="AV18" s="252"/>
      <c r="AW18" s="252"/>
      <c r="AX18" s="252"/>
      <c r="AY18" s="252"/>
      <c r="AZ18" s="252"/>
      <c r="BA18" s="252"/>
      <c r="BB18" s="252"/>
      <c r="BC18" s="252"/>
      <c r="BD18" s="252"/>
      <c r="BE18" s="252"/>
      <c r="BF18" s="252"/>
      <c r="BG18" s="252"/>
      <c r="BH18" s="252"/>
      <c r="BI18" s="252"/>
      <c r="BJ18" s="252"/>
      <c r="BK18" s="252"/>
      <c r="BL18" s="252"/>
      <c r="BM18" s="252"/>
      <c r="BN18" s="252"/>
      <c r="BO18" s="252"/>
      <c r="BP18" s="252"/>
      <c r="BQ18" s="252"/>
      <c r="BR18" s="252"/>
      <c r="BS18" s="252"/>
      <c r="BT18" s="252"/>
      <c r="BU18" s="252"/>
      <c r="BV18" s="252"/>
      <c r="BW18" s="252"/>
      <c r="BX18" s="252"/>
      <c r="BY18" s="252"/>
      <c r="BZ18" s="252"/>
      <c r="CA18" s="252"/>
      <c r="CB18" s="252"/>
      <c r="CC18" s="252"/>
      <c r="CD18" s="252"/>
      <c r="CE18" s="252"/>
      <c r="CF18" s="252"/>
      <c r="CG18" s="252"/>
      <c r="CH18" s="252"/>
    </row>
    <row r="19" spans="1:86" ht="12" customHeight="1" x14ac:dyDescent="0.35">
      <c r="A19" s="274"/>
      <c r="B19" s="163"/>
      <c r="C19" s="176" t="s">
        <v>235</v>
      </c>
      <c r="D19" s="108"/>
      <c r="E19" s="108"/>
      <c r="F19" s="101"/>
      <c r="G19" s="166"/>
      <c r="H19" s="128"/>
    </row>
    <row r="20" spans="1:86" ht="12" customHeight="1" x14ac:dyDescent="0.35">
      <c r="A20" s="274"/>
      <c r="B20" s="163"/>
      <c r="C20" s="176" t="s">
        <v>197</v>
      </c>
      <c r="D20" s="108"/>
      <c r="E20" s="108"/>
      <c r="F20" s="101"/>
      <c r="G20" s="166"/>
      <c r="H20" s="128"/>
    </row>
    <row r="21" spans="1:86" ht="12" customHeight="1" x14ac:dyDescent="0.35">
      <c r="A21" s="274"/>
      <c r="B21" s="163"/>
      <c r="C21" s="176" t="s">
        <v>198</v>
      </c>
      <c r="D21" s="108"/>
      <c r="E21" s="108"/>
      <c r="F21" s="101"/>
      <c r="G21" s="166"/>
      <c r="H21" s="128"/>
    </row>
    <row r="22" spans="1:86" ht="12" customHeight="1" x14ac:dyDescent="0.35">
      <c r="A22" s="274"/>
      <c r="B22" s="163"/>
      <c r="C22" s="176" t="s">
        <v>224</v>
      </c>
      <c r="D22" s="108"/>
      <c r="E22" s="108"/>
      <c r="F22" s="101"/>
      <c r="G22" s="166"/>
      <c r="H22" s="128"/>
    </row>
    <row r="23" spans="1:86" ht="12" customHeight="1" x14ac:dyDescent="0.35">
      <c r="A23" s="274"/>
      <c r="B23" s="163"/>
      <c r="C23" s="176" t="s">
        <v>236</v>
      </c>
      <c r="D23" s="108"/>
      <c r="E23" s="108"/>
      <c r="F23" s="101"/>
      <c r="G23" s="166"/>
      <c r="H23" s="128"/>
    </row>
    <row r="24" spans="1:86" ht="12" customHeight="1" x14ac:dyDescent="0.35">
      <c r="A24" s="274"/>
      <c r="B24" s="163"/>
      <c r="C24" s="110" t="s">
        <v>184</v>
      </c>
      <c r="D24" s="108"/>
      <c r="E24" s="108"/>
      <c r="F24" s="101"/>
      <c r="G24" s="166">
        <v>46264</v>
      </c>
      <c r="H24" s="128"/>
    </row>
    <row r="25" spans="1:86" s="134" customFormat="1" ht="12" customHeight="1" x14ac:dyDescent="0.35">
      <c r="A25" s="274"/>
      <c r="B25" s="256"/>
      <c r="C25" s="175" t="s">
        <v>199</v>
      </c>
      <c r="D25" s="144"/>
      <c r="E25" s="144"/>
      <c r="F25" s="165"/>
      <c r="G25" s="168"/>
      <c r="H25" s="133" t="s">
        <v>173</v>
      </c>
      <c r="I25" s="251"/>
      <c r="J25" s="252"/>
      <c r="K25" s="252"/>
      <c r="L25" s="252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Z25" s="252"/>
      <c r="AA25" s="252"/>
      <c r="AB25" s="252"/>
      <c r="AC25" s="252"/>
      <c r="AD25" s="252"/>
      <c r="AE25" s="252"/>
      <c r="AF25" s="252"/>
      <c r="AG25" s="252"/>
      <c r="AH25" s="252"/>
      <c r="AI25" s="252"/>
      <c r="AJ25" s="252"/>
      <c r="AK25" s="252"/>
      <c r="AL25" s="252"/>
      <c r="AM25" s="252"/>
      <c r="AN25" s="252"/>
      <c r="AO25" s="252"/>
      <c r="AP25" s="252"/>
      <c r="AQ25" s="252"/>
      <c r="AR25" s="252"/>
      <c r="AS25" s="252"/>
      <c r="AT25" s="252"/>
      <c r="AU25" s="252"/>
      <c r="AV25" s="252"/>
      <c r="AW25" s="252"/>
      <c r="AX25" s="252"/>
      <c r="AY25" s="252"/>
      <c r="AZ25" s="252"/>
      <c r="BA25" s="252"/>
      <c r="BB25" s="252"/>
      <c r="BC25" s="252"/>
      <c r="BD25" s="252"/>
      <c r="BE25" s="252"/>
      <c r="BF25" s="252"/>
      <c r="BG25" s="252"/>
      <c r="BH25" s="252"/>
      <c r="BI25" s="252"/>
      <c r="BJ25" s="252"/>
      <c r="BK25" s="252"/>
      <c r="BL25" s="252"/>
      <c r="BM25" s="252"/>
      <c r="BN25" s="252"/>
      <c r="BO25" s="252"/>
      <c r="BP25" s="252"/>
      <c r="BQ25" s="252"/>
      <c r="BR25" s="252"/>
      <c r="BS25" s="252"/>
      <c r="BT25" s="252"/>
      <c r="BU25" s="252"/>
      <c r="BV25" s="252"/>
      <c r="BW25" s="252"/>
      <c r="BX25" s="252"/>
      <c r="BY25" s="252"/>
      <c r="BZ25" s="252"/>
      <c r="CA25" s="252"/>
      <c r="CB25" s="252"/>
      <c r="CC25" s="252"/>
      <c r="CD25" s="252"/>
      <c r="CE25" s="252"/>
      <c r="CF25" s="252"/>
      <c r="CG25" s="252"/>
      <c r="CH25" s="252"/>
    </row>
    <row r="26" spans="1:86" ht="12" customHeight="1" x14ac:dyDescent="0.35">
      <c r="A26" s="274"/>
      <c r="B26" s="163"/>
      <c r="C26" s="176" t="s">
        <v>235</v>
      </c>
      <c r="D26" s="108"/>
      <c r="E26" s="108"/>
      <c r="F26" s="101"/>
      <c r="G26" s="166"/>
      <c r="H26" s="128"/>
    </row>
    <row r="27" spans="1:86" ht="12" customHeight="1" x14ac:dyDescent="0.35">
      <c r="A27" s="274"/>
      <c r="B27" s="163"/>
      <c r="C27" s="176" t="s">
        <v>197</v>
      </c>
      <c r="D27" s="108"/>
      <c r="E27" s="108"/>
      <c r="F27" s="101"/>
      <c r="G27" s="166"/>
      <c r="H27" s="128"/>
    </row>
    <row r="28" spans="1:86" ht="12" customHeight="1" x14ac:dyDescent="0.35">
      <c r="A28" s="274"/>
      <c r="B28" s="163"/>
      <c r="C28" s="176" t="s">
        <v>198</v>
      </c>
      <c r="D28" s="108"/>
      <c r="E28" s="108"/>
      <c r="F28" s="101"/>
      <c r="G28" s="166"/>
      <c r="H28" s="128"/>
    </row>
    <row r="29" spans="1:86" ht="12" customHeight="1" x14ac:dyDescent="0.35">
      <c r="A29" s="274"/>
      <c r="B29" s="163"/>
      <c r="C29" s="176" t="s">
        <v>224</v>
      </c>
      <c r="D29" s="108"/>
      <c r="E29" s="108"/>
      <c r="F29" s="101"/>
      <c r="G29" s="166"/>
      <c r="H29" s="128"/>
    </row>
    <row r="30" spans="1:86" ht="12" customHeight="1" x14ac:dyDescent="0.35">
      <c r="A30" s="274"/>
      <c r="B30" s="163"/>
      <c r="C30" s="176" t="s">
        <v>236</v>
      </c>
      <c r="D30" s="108"/>
      <c r="E30" s="108"/>
      <c r="F30" s="101"/>
      <c r="G30" s="166"/>
      <c r="H30" s="128"/>
    </row>
    <row r="31" spans="1:86" ht="12" customHeight="1" x14ac:dyDescent="0.35">
      <c r="A31" s="274"/>
      <c r="B31" s="163"/>
      <c r="C31" s="110" t="s">
        <v>183</v>
      </c>
      <c r="D31" s="108"/>
      <c r="E31" s="108"/>
      <c r="F31" s="101"/>
      <c r="G31" s="166">
        <v>46264</v>
      </c>
      <c r="H31" s="128"/>
    </row>
    <row r="32" spans="1:86" s="134" customFormat="1" ht="12" customHeight="1" x14ac:dyDescent="0.35">
      <c r="A32" s="274"/>
      <c r="B32" s="256"/>
      <c r="C32" s="175" t="s">
        <v>199</v>
      </c>
      <c r="D32" s="144"/>
      <c r="E32" s="144"/>
      <c r="F32" s="165"/>
      <c r="G32" s="132"/>
      <c r="H32" s="133" t="s">
        <v>173</v>
      </c>
      <c r="I32" s="251"/>
      <c r="J32" s="252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/>
      <c r="AA32" s="252"/>
      <c r="AB32" s="252"/>
      <c r="AC32" s="252"/>
      <c r="AD32" s="252"/>
      <c r="AE32" s="252"/>
      <c r="AF32" s="252"/>
      <c r="AG32" s="252"/>
      <c r="AH32" s="252"/>
      <c r="AI32" s="252"/>
      <c r="AJ32" s="252"/>
      <c r="AK32" s="252"/>
      <c r="AL32" s="252"/>
      <c r="AM32" s="252"/>
      <c r="AN32" s="252"/>
      <c r="AO32" s="252"/>
      <c r="AP32" s="252"/>
      <c r="AQ32" s="252"/>
      <c r="AR32" s="252"/>
      <c r="AS32" s="252"/>
      <c r="AT32" s="252"/>
      <c r="AU32" s="252"/>
      <c r="AV32" s="252"/>
      <c r="AW32" s="252"/>
      <c r="AX32" s="252"/>
      <c r="AY32" s="252"/>
      <c r="AZ32" s="252"/>
      <c r="BA32" s="252"/>
      <c r="BB32" s="252"/>
      <c r="BC32" s="252"/>
      <c r="BD32" s="252"/>
      <c r="BE32" s="252"/>
      <c r="BF32" s="252"/>
      <c r="BG32" s="252"/>
      <c r="BH32" s="252"/>
      <c r="BI32" s="252"/>
      <c r="BJ32" s="252"/>
      <c r="BK32" s="252"/>
      <c r="BL32" s="252"/>
      <c r="BM32" s="252"/>
      <c r="BN32" s="252"/>
      <c r="BO32" s="252"/>
      <c r="BP32" s="252"/>
      <c r="BQ32" s="252"/>
      <c r="BR32" s="252"/>
      <c r="BS32" s="252"/>
      <c r="BT32" s="252"/>
      <c r="BU32" s="252"/>
      <c r="BV32" s="252"/>
      <c r="BW32" s="252"/>
      <c r="BX32" s="252"/>
      <c r="BY32" s="252"/>
      <c r="BZ32" s="252"/>
      <c r="CA32" s="252"/>
      <c r="CB32" s="252"/>
      <c r="CC32" s="252"/>
      <c r="CD32" s="252"/>
      <c r="CE32" s="252"/>
      <c r="CF32" s="252"/>
      <c r="CG32" s="252"/>
      <c r="CH32" s="252"/>
    </row>
    <row r="33" spans="1:86" ht="12" customHeight="1" x14ac:dyDescent="0.35">
      <c r="A33" s="274"/>
      <c r="B33" s="163"/>
      <c r="C33" s="176" t="s">
        <v>235</v>
      </c>
      <c r="D33" s="108"/>
      <c r="E33" s="108"/>
      <c r="F33" s="101"/>
      <c r="G33" s="166"/>
      <c r="H33" s="128"/>
    </row>
    <row r="34" spans="1:86" ht="12" customHeight="1" x14ac:dyDescent="0.35">
      <c r="A34" s="274"/>
      <c r="B34" s="163"/>
      <c r="C34" s="176" t="s">
        <v>197</v>
      </c>
      <c r="D34" s="108"/>
      <c r="E34" s="108"/>
      <c r="F34" s="101"/>
      <c r="G34" s="166"/>
      <c r="H34" s="128"/>
    </row>
    <row r="35" spans="1:86" ht="12" customHeight="1" x14ac:dyDescent="0.35">
      <c r="A35" s="274"/>
      <c r="B35" s="163"/>
      <c r="C35" s="176" t="s">
        <v>198</v>
      </c>
      <c r="D35" s="108"/>
      <c r="E35" s="108"/>
      <c r="F35" s="101"/>
      <c r="G35" s="166"/>
      <c r="H35" s="128"/>
    </row>
    <row r="36" spans="1:86" ht="12" customHeight="1" x14ac:dyDescent="0.35">
      <c r="A36" s="274"/>
      <c r="B36" s="163"/>
      <c r="C36" s="176" t="s">
        <v>224</v>
      </c>
      <c r="D36" s="108"/>
      <c r="E36" s="108"/>
      <c r="F36" s="101"/>
      <c r="G36" s="166"/>
      <c r="H36" s="128"/>
    </row>
    <row r="37" spans="1:86" ht="12" customHeight="1" x14ac:dyDescent="0.35">
      <c r="A37" s="274"/>
      <c r="B37" s="163"/>
      <c r="C37" s="176" t="s">
        <v>236</v>
      </c>
      <c r="D37" s="108"/>
      <c r="E37" s="108"/>
      <c r="F37" s="101"/>
      <c r="G37" s="166"/>
      <c r="H37" s="128"/>
    </row>
    <row r="38" spans="1:86" ht="12.5" customHeight="1" x14ac:dyDescent="0.35">
      <c r="A38" s="274"/>
      <c r="B38" s="163"/>
      <c r="C38" s="110" t="s">
        <v>276</v>
      </c>
      <c r="D38" s="108"/>
      <c r="E38" s="108"/>
      <c r="F38" s="101"/>
      <c r="G38" s="166">
        <v>46264</v>
      </c>
      <c r="H38" s="128"/>
    </row>
    <row r="39" spans="1:86" s="105" customFormat="1" ht="12" customHeight="1" x14ac:dyDescent="0.35">
      <c r="A39" s="274"/>
      <c r="B39" s="257"/>
      <c r="C39" s="177" t="s">
        <v>199</v>
      </c>
      <c r="D39" s="115"/>
      <c r="E39" s="115"/>
      <c r="F39" s="116"/>
      <c r="G39" s="169"/>
      <c r="H39" s="129" t="s">
        <v>206</v>
      </c>
      <c r="I39" s="251"/>
      <c r="J39" s="252"/>
      <c r="K39" s="252"/>
      <c r="L39" s="252"/>
      <c r="M39" s="252"/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Z39" s="252"/>
      <c r="AA39" s="252"/>
      <c r="AB39" s="252"/>
      <c r="AC39" s="252"/>
      <c r="AD39" s="252"/>
      <c r="AE39" s="252"/>
      <c r="AF39" s="252"/>
      <c r="AG39" s="252"/>
      <c r="AH39" s="252"/>
      <c r="AI39" s="252"/>
      <c r="AJ39" s="252"/>
      <c r="AK39" s="252"/>
      <c r="AL39" s="252"/>
      <c r="AM39" s="252"/>
      <c r="AN39" s="252"/>
      <c r="AO39" s="252"/>
      <c r="AP39" s="252"/>
      <c r="AQ39" s="252"/>
      <c r="AR39" s="252"/>
      <c r="AS39" s="252"/>
      <c r="AT39" s="252"/>
      <c r="AU39" s="252"/>
      <c r="AV39" s="252"/>
      <c r="AW39" s="252"/>
      <c r="AX39" s="252"/>
      <c r="AY39" s="252"/>
      <c r="AZ39" s="252"/>
      <c r="BA39" s="252"/>
      <c r="BB39" s="252"/>
      <c r="BC39" s="252"/>
      <c r="BD39" s="252"/>
      <c r="BE39" s="252"/>
      <c r="BF39" s="252"/>
      <c r="BG39" s="252"/>
      <c r="BH39" s="252"/>
      <c r="BI39" s="252"/>
      <c r="BJ39" s="252"/>
      <c r="BK39" s="252"/>
      <c r="BL39" s="252"/>
      <c r="BM39" s="252"/>
      <c r="BN39" s="252"/>
      <c r="BO39" s="252"/>
      <c r="BP39" s="252"/>
      <c r="BQ39" s="252"/>
      <c r="BR39" s="252"/>
      <c r="BS39" s="252"/>
      <c r="BT39" s="252"/>
      <c r="BU39" s="252"/>
      <c r="BV39" s="252"/>
      <c r="BW39" s="252"/>
      <c r="BX39" s="252"/>
      <c r="BY39" s="252"/>
      <c r="BZ39" s="252"/>
      <c r="CA39" s="252"/>
      <c r="CB39" s="252"/>
      <c r="CC39" s="252"/>
      <c r="CD39" s="252"/>
      <c r="CE39" s="252"/>
      <c r="CF39" s="252"/>
      <c r="CG39" s="252"/>
      <c r="CH39" s="252"/>
    </row>
    <row r="40" spans="1:86" s="105" customFormat="1" ht="12.5" customHeight="1" x14ac:dyDescent="0.35">
      <c r="A40" s="274"/>
      <c r="B40" s="257"/>
      <c r="C40" s="177" t="s">
        <v>235</v>
      </c>
      <c r="D40" s="115"/>
      <c r="E40" s="115"/>
      <c r="F40" s="116"/>
      <c r="G40" s="169"/>
      <c r="H40" s="129" t="s">
        <v>206</v>
      </c>
      <c r="I40" s="251"/>
      <c r="J40" s="252"/>
      <c r="K40" s="252"/>
      <c r="L40" s="252"/>
      <c r="M40" s="252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252"/>
      <c r="AA40" s="252"/>
      <c r="AB40" s="252"/>
      <c r="AC40" s="252"/>
      <c r="AD40" s="252"/>
      <c r="AE40" s="252"/>
      <c r="AF40" s="252"/>
      <c r="AG40" s="252"/>
      <c r="AH40" s="252"/>
      <c r="AI40" s="252"/>
      <c r="AJ40" s="252"/>
      <c r="AK40" s="252"/>
      <c r="AL40" s="252"/>
      <c r="AM40" s="252"/>
      <c r="AN40" s="252"/>
      <c r="AO40" s="252"/>
      <c r="AP40" s="252"/>
      <c r="AQ40" s="252"/>
      <c r="AR40" s="252"/>
      <c r="AS40" s="252"/>
      <c r="AT40" s="252"/>
      <c r="AU40" s="252"/>
      <c r="AV40" s="252"/>
      <c r="AW40" s="252"/>
      <c r="AX40" s="252"/>
      <c r="AY40" s="252"/>
      <c r="AZ40" s="252"/>
      <c r="BA40" s="252"/>
      <c r="BB40" s="252"/>
      <c r="BC40" s="252"/>
      <c r="BD40" s="252"/>
      <c r="BE40" s="252"/>
      <c r="BF40" s="252"/>
      <c r="BG40" s="252"/>
      <c r="BH40" s="252"/>
      <c r="BI40" s="252"/>
      <c r="BJ40" s="252"/>
      <c r="BK40" s="252"/>
      <c r="BL40" s="252"/>
      <c r="BM40" s="252"/>
      <c r="BN40" s="252"/>
      <c r="BO40" s="252"/>
      <c r="BP40" s="252"/>
      <c r="BQ40" s="252"/>
      <c r="BR40" s="252"/>
      <c r="BS40" s="252"/>
      <c r="BT40" s="252"/>
      <c r="BU40" s="252"/>
      <c r="BV40" s="252"/>
      <c r="BW40" s="252"/>
      <c r="BX40" s="252"/>
      <c r="BY40" s="252"/>
      <c r="BZ40" s="252"/>
      <c r="CA40" s="252"/>
      <c r="CB40" s="252"/>
      <c r="CC40" s="252"/>
      <c r="CD40" s="252"/>
      <c r="CE40" s="252"/>
      <c r="CF40" s="252"/>
      <c r="CG40" s="252"/>
      <c r="CH40" s="252"/>
    </row>
    <row r="41" spans="1:86" s="105" customFormat="1" ht="12.5" customHeight="1" x14ac:dyDescent="0.35">
      <c r="A41" s="274"/>
      <c r="B41" s="257"/>
      <c r="C41" s="177" t="s">
        <v>197</v>
      </c>
      <c r="D41" s="115"/>
      <c r="E41" s="115"/>
      <c r="F41" s="116"/>
      <c r="G41" s="199"/>
      <c r="H41" s="129" t="s">
        <v>206</v>
      </c>
      <c r="I41" s="251"/>
      <c r="J41" s="252"/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Z41" s="252"/>
      <c r="AA41" s="252"/>
      <c r="AB41" s="252"/>
      <c r="AC41" s="252"/>
      <c r="AD41" s="252"/>
      <c r="AE41" s="252"/>
      <c r="AF41" s="252"/>
      <c r="AG41" s="252"/>
      <c r="AH41" s="252"/>
      <c r="AI41" s="252"/>
      <c r="AJ41" s="252"/>
      <c r="AK41" s="252"/>
      <c r="AL41" s="252"/>
      <c r="AM41" s="252"/>
      <c r="AN41" s="252"/>
      <c r="AO41" s="252"/>
      <c r="AP41" s="252"/>
      <c r="AQ41" s="252"/>
      <c r="AR41" s="252"/>
      <c r="AS41" s="252"/>
      <c r="AT41" s="252"/>
      <c r="AU41" s="252"/>
      <c r="AV41" s="252"/>
      <c r="AW41" s="252"/>
      <c r="AX41" s="252"/>
      <c r="AY41" s="252"/>
      <c r="AZ41" s="252"/>
      <c r="BA41" s="252"/>
      <c r="BB41" s="252"/>
      <c r="BC41" s="252"/>
      <c r="BD41" s="252"/>
      <c r="BE41" s="252"/>
      <c r="BF41" s="252"/>
      <c r="BG41" s="252"/>
      <c r="BH41" s="252"/>
      <c r="BI41" s="252"/>
      <c r="BJ41" s="252"/>
      <c r="BK41" s="252"/>
      <c r="BL41" s="252"/>
      <c r="BM41" s="252"/>
      <c r="BN41" s="252"/>
      <c r="BO41" s="252"/>
      <c r="BP41" s="252"/>
      <c r="BQ41" s="252"/>
      <c r="BR41" s="252"/>
      <c r="BS41" s="252"/>
      <c r="BT41" s="252"/>
      <c r="BU41" s="252"/>
      <c r="BV41" s="252"/>
      <c r="BW41" s="252"/>
      <c r="BX41" s="252"/>
      <c r="BY41" s="252"/>
      <c r="BZ41" s="252"/>
      <c r="CA41" s="252"/>
      <c r="CB41" s="252"/>
      <c r="CC41" s="252"/>
      <c r="CD41" s="252"/>
      <c r="CE41" s="252"/>
      <c r="CF41" s="252"/>
      <c r="CG41" s="252"/>
      <c r="CH41" s="252"/>
    </row>
    <row r="42" spans="1:86" ht="12.5" customHeight="1" x14ac:dyDescent="0.35">
      <c r="A42" s="274"/>
      <c r="B42" s="163"/>
      <c r="C42" s="176" t="s">
        <v>198</v>
      </c>
      <c r="D42" s="108"/>
      <c r="E42" s="108"/>
      <c r="F42" s="101"/>
      <c r="G42" s="166"/>
      <c r="H42" s="128"/>
    </row>
    <row r="43" spans="1:86" ht="12.5" customHeight="1" x14ac:dyDescent="0.35">
      <c r="A43" s="274"/>
      <c r="B43" s="163"/>
      <c r="C43" s="176" t="s">
        <v>224</v>
      </c>
      <c r="D43" s="108"/>
      <c r="E43" s="108"/>
      <c r="F43" s="101"/>
      <c r="G43" s="166"/>
      <c r="H43" s="128"/>
    </row>
    <row r="44" spans="1:86" ht="12.5" customHeight="1" x14ac:dyDescent="0.35">
      <c r="A44" s="274"/>
      <c r="B44" s="163"/>
      <c r="C44" s="176" t="s">
        <v>236</v>
      </c>
      <c r="D44" s="108"/>
      <c r="E44" s="108"/>
      <c r="F44" s="101"/>
      <c r="G44" s="166"/>
      <c r="H44" s="128"/>
    </row>
    <row r="45" spans="1:86" ht="12.5" customHeight="1" x14ac:dyDescent="0.35">
      <c r="A45" s="274"/>
      <c r="B45" s="163"/>
      <c r="C45" s="110" t="s">
        <v>275</v>
      </c>
      <c r="D45" s="108"/>
      <c r="E45" s="108"/>
      <c r="F45" s="101"/>
      <c r="G45" s="166">
        <v>46264</v>
      </c>
      <c r="H45" s="128"/>
    </row>
    <row r="46" spans="1:86" s="105" customFormat="1" ht="12" customHeight="1" x14ac:dyDescent="0.35">
      <c r="A46" s="274"/>
      <c r="B46" s="257"/>
      <c r="C46" s="177" t="s">
        <v>199</v>
      </c>
      <c r="D46" s="115"/>
      <c r="E46" s="115"/>
      <c r="F46" s="116"/>
      <c r="G46" s="170"/>
      <c r="H46" s="129" t="s">
        <v>206</v>
      </c>
      <c r="I46" s="251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  <c r="AA46" s="252"/>
      <c r="AB46" s="252"/>
      <c r="AC46" s="252"/>
      <c r="AD46" s="252"/>
      <c r="AE46" s="252"/>
      <c r="AF46" s="252"/>
      <c r="AG46" s="252"/>
      <c r="AH46" s="252"/>
      <c r="AI46" s="252"/>
      <c r="AJ46" s="252"/>
      <c r="AK46" s="252"/>
      <c r="AL46" s="252"/>
      <c r="AM46" s="252"/>
      <c r="AN46" s="252"/>
      <c r="AO46" s="252"/>
      <c r="AP46" s="252"/>
      <c r="AQ46" s="252"/>
      <c r="AR46" s="252"/>
      <c r="AS46" s="252"/>
      <c r="AT46" s="252"/>
      <c r="AU46" s="252"/>
      <c r="AV46" s="252"/>
      <c r="AW46" s="252"/>
      <c r="AX46" s="252"/>
      <c r="AY46" s="252"/>
      <c r="AZ46" s="252"/>
      <c r="BA46" s="252"/>
      <c r="BB46" s="252"/>
      <c r="BC46" s="252"/>
      <c r="BD46" s="252"/>
      <c r="BE46" s="252"/>
      <c r="BF46" s="252"/>
      <c r="BG46" s="252"/>
      <c r="BH46" s="252"/>
      <c r="BI46" s="252"/>
      <c r="BJ46" s="252"/>
      <c r="BK46" s="252"/>
      <c r="BL46" s="252"/>
      <c r="BM46" s="252"/>
      <c r="BN46" s="252"/>
      <c r="BO46" s="252"/>
      <c r="BP46" s="252"/>
      <c r="BQ46" s="252"/>
      <c r="BR46" s="252"/>
      <c r="BS46" s="252"/>
      <c r="BT46" s="252"/>
      <c r="BU46" s="252"/>
      <c r="BV46" s="252"/>
      <c r="BW46" s="252"/>
      <c r="BX46" s="252"/>
      <c r="BY46" s="252"/>
      <c r="BZ46" s="252"/>
      <c r="CA46" s="252"/>
      <c r="CB46" s="252"/>
      <c r="CC46" s="252"/>
      <c r="CD46" s="252"/>
      <c r="CE46" s="252"/>
      <c r="CF46" s="252"/>
      <c r="CG46" s="252"/>
      <c r="CH46" s="252"/>
    </row>
    <row r="47" spans="1:86" s="105" customFormat="1" ht="12.5" customHeight="1" x14ac:dyDescent="0.35">
      <c r="A47" s="274"/>
      <c r="B47" s="257"/>
      <c r="C47" s="177" t="s">
        <v>235</v>
      </c>
      <c r="D47" s="115"/>
      <c r="E47" s="115"/>
      <c r="F47" s="116"/>
      <c r="G47" s="170"/>
      <c r="H47" s="129" t="s">
        <v>206</v>
      </c>
      <c r="I47" s="251"/>
      <c r="J47" s="252"/>
      <c r="K47" s="252"/>
      <c r="L47" s="252"/>
      <c r="M47" s="252"/>
      <c r="N47" s="252"/>
      <c r="O47" s="252"/>
      <c r="P47" s="252"/>
      <c r="Q47" s="252"/>
      <c r="R47" s="252"/>
      <c r="S47" s="252"/>
      <c r="T47" s="252"/>
      <c r="U47" s="252"/>
      <c r="V47" s="252"/>
      <c r="W47" s="252"/>
      <c r="X47" s="252"/>
      <c r="Y47" s="252"/>
      <c r="Z47" s="252"/>
      <c r="AA47" s="252"/>
      <c r="AB47" s="252"/>
      <c r="AC47" s="252"/>
      <c r="AD47" s="252"/>
      <c r="AE47" s="252"/>
      <c r="AF47" s="252"/>
      <c r="AG47" s="252"/>
      <c r="AH47" s="252"/>
      <c r="AI47" s="252"/>
      <c r="AJ47" s="252"/>
      <c r="AK47" s="252"/>
      <c r="AL47" s="252"/>
      <c r="AM47" s="252"/>
      <c r="AN47" s="252"/>
      <c r="AO47" s="252"/>
      <c r="AP47" s="252"/>
      <c r="AQ47" s="252"/>
      <c r="AR47" s="252"/>
      <c r="AS47" s="252"/>
      <c r="AT47" s="252"/>
      <c r="AU47" s="252"/>
      <c r="AV47" s="252"/>
      <c r="AW47" s="252"/>
      <c r="AX47" s="252"/>
      <c r="AY47" s="252"/>
      <c r="AZ47" s="252"/>
      <c r="BA47" s="252"/>
      <c r="BB47" s="252"/>
      <c r="BC47" s="252"/>
      <c r="BD47" s="252"/>
      <c r="BE47" s="252"/>
      <c r="BF47" s="252"/>
      <c r="BG47" s="252"/>
      <c r="BH47" s="252"/>
      <c r="BI47" s="252"/>
      <c r="BJ47" s="252"/>
      <c r="BK47" s="252"/>
      <c r="BL47" s="252"/>
      <c r="BM47" s="252"/>
      <c r="BN47" s="252"/>
      <c r="BO47" s="252"/>
      <c r="BP47" s="252"/>
      <c r="BQ47" s="252"/>
      <c r="BR47" s="252"/>
      <c r="BS47" s="252"/>
      <c r="BT47" s="252"/>
      <c r="BU47" s="252"/>
      <c r="BV47" s="252"/>
      <c r="BW47" s="252"/>
      <c r="BX47" s="252"/>
      <c r="BY47" s="252"/>
      <c r="BZ47" s="252"/>
      <c r="CA47" s="252"/>
      <c r="CB47" s="252"/>
      <c r="CC47" s="252"/>
      <c r="CD47" s="252"/>
      <c r="CE47" s="252"/>
      <c r="CF47" s="252"/>
      <c r="CG47" s="252"/>
      <c r="CH47" s="252"/>
    </row>
    <row r="48" spans="1:86" s="105" customFormat="1" ht="12.5" customHeight="1" x14ac:dyDescent="0.35">
      <c r="A48" s="274"/>
      <c r="B48" s="257"/>
      <c r="C48" s="177" t="s">
        <v>197</v>
      </c>
      <c r="D48" s="115"/>
      <c r="E48" s="115"/>
      <c r="F48" s="116"/>
      <c r="G48" s="199"/>
      <c r="H48" s="129" t="s">
        <v>206</v>
      </c>
      <c r="I48" s="251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/>
      <c r="AA48" s="252"/>
      <c r="AB48" s="252"/>
      <c r="AC48" s="252"/>
      <c r="AD48" s="252"/>
      <c r="AE48" s="252"/>
      <c r="AF48" s="252"/>
      <c r="AG48" s="252"/>
      <c r="AH48" s="252"/>
      <c r="AI48" s="252"/>
      <c r="AJ48" s="252"/>
      <c r="AK48" s="252"/>
      <c r="AL48" s="252"/>
      <c r="AM48" s="252"/>
      <c r="AN48" s="252"/>
      <c r="AO48" s="252"/>
      <c r="AP48" s="252"/>
      <c r="AQ48" s="252"/>
      <c r="AR48" s="252"/>
      <c r="AS48" s="252"/>
      <c r="AT48" s="252"/>
      <c r="AU48" s="252"/>
      <c r="AV48" s="252"/>
      <c r="AW48" s="252"/>
      <c r="AX48" s="252"/>
      <c r="AY48" s="252"/>
      <c r="AZ48" s="252"/>
      <c r="BA48" s="252"/>
      <c r="BB48" s="252"/>
      <c r="BC48" s="252"/>
      <c r="BD48" s="252"/>
      <c r="BE48" s="252"/>
      <c r="BF48" s="252"/>
      <c r="BG48" s="252"/>
      <c r="BH48" s="252"/>
      <c r="BI48" s="252"/>
      <c r="BJ48" s="252"/>
      <c r="BK48" s="252"/>
      <c r="BL48" s="252"/>
      <c r="BM48" s="252"/>
      <c r="BN48" s="252"/>
      <c r="BO48" s="252"/>
      <c r="BP48" s="252"/>
      <c r="BQ48" s="252"/>
      <c r="BR48" s="252"/>
      <c r="BS48" s="252"/>
      <c r="BT48" s="252"/>
      <c r="BU48" s="252"/>
      <c r="BV48" s="252"/>
      <c r="BW48" s="252"/>
      <c r="BX48" s="252"/>
      <c r="BY48" s="252"/>
      <c r="BZ48" s="252"/>
      <c r="CA48" s="252"/>
      <c r="CB48" s="252"/>
      <c r="CC48" s="252"/>
      <c r="CD48" s="252"/>
      <c r="CE48" s="252"/>
      <c r="CF48" s="252"/>
      <c r="CG48" s="252"/>
      <c r="CH48" s="252"/>
    </row>
    <row r="49" spans="1:114" ht="12.5" customHeight="1" x14ac:dyDescent="0.35">
      <c r="A49" s="274"/>
      <c r="B49" s="163"/>
      <c r="C49" s="176" t="s">
        <v>198</v>
      </c>
      <c r="D49" s="108"/>
      <c r="E49" s="108"/>
      <c r="F49" s="101"/>
      <c r="G49" s="166"/>
      <c r="H49" s="128"/>
    </row>
    <row r="50" spans="1:114" ht="12.5" customHeight="1" x14ac:dyDescent="0.35">
      <c r="A50" s="274"/>
      <c r="B50" s="163"/>
      <c r="C50" s="176" t="s">
        <v>224</v>
      </c>
      <c r="D50" s="108"/>
      <c r="E50" s="108"/>
      <c r="F50" s="101"/>
      <c r="G50" s="166"/>
      <c r="H50" s="128"/>
    </row>
    <row r="51" spans="1:114" ht="12.5" customHeight="1" x14ac:dyDescent="0.35">
      <c r="A51" s="274"/>
      <c r="B51" s="163"/>
      <c r="C51" s="176" t="s">
        <v>236</v>
      </c>
      <c r="D51" s="108"/>
      <c r="E51" s="108"/>
      <c r="F51" s="101"/>
      <c r="G51" s="166"/>
      <c r="H51" s="128"/>
    </row>
    <row r="52" spans="1:114" s="122" customFormat="1" ht="17" customHeight="1" x14ac:dyDescent="0.35">
      <c r="A52" s="274"/>
      <c r="B52" s="156">
        <v>2</v>
      </c>
      <c r="C52" s="119" t="s">
        <v>288</v>
      </c>
      <c r="D52" s="119"/>
      <c r="E52" s="126"/>
      <c r="F52" s="120"/>
      <c r="G52" s="174">
        <v>46325</v>
      </c>
      <c r="H52" s="127"/>
      <c r="I52" s="251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/>
      <c r="AA52" s="252"/>
      <c r="AB52" s="252"/>
      <c r="AC52" s="252"/>
      <c r="AD52" s="252"/>
      <c r="AE52" s="252"/>
      <c r="AF52" s="252"/>
      <c r="AG52" s="252"/>
      <c r="AH52" s="252"/>
      <c r="AI52" s="252"/>
      <c r="AJ52" s="252"/>
      <c r="AK52" s="252"/>
      <c r="AL52" s="252"/>
      <c r="AM52" s="252"/>
      <c r="AN52" s="252"/>
      <c r="AO52" s="252"/>
      <c r="AP52" s="252"/>
      <c r="AQ52" s="252"/>
      <c r="AR52" s="252"/>
      <c r="AS52" s="252"/>
      <c r="AT52" s="252"/>
      <c r="AU52" s="252"/>
      <c r="AV52" s="252"/>
      <c r="AW52" s="252"/>
      <c r="AX52" s="252"/>
      <c r="AY52" s="252"/>
      <c r="AZ52" s="252"/>
      <c r="BA52" s="252"/>
      <c r="BB52" s="252"/>
      <c r="BC52" s="252"/>
      <c r="BD52" s="252"/>
      <c r="BE52" s="252"/>
      <c r="BF52" s="252"/>
      <c r="BG52" s="252"/>
      <c r="BH52" s="252"/>
      <c r="BI52" s="252"/>
      <c r="BJ52" s="252"/>
      <c r="BK52" s="252"/>
      <c r="BL52" s="252"/>
      <c r="BM52" s="252"/>
      <c r="BN52" s="252"/>
      <c r="BO52" s="252"/>
      <c r="BP52" s="252"/>
      <c r="BQ52" s="252"/>
      <c r="BR52" s="252"/>
      <c r="BS52" s="252"/>
      <c r="BT52" s="252"/>
      <c r="BU52" s="252"/>
      <c r="BV52" s="252"/>
      <c r="BW52" s="252"/>
      <c r="BX52" s="252"/>
      <c r="BY52" s="252"/>
      <c r="BZ52" s="252"/>
      <c r="CA52" s="252"/>
      <c r="CB52" s="252"/>
      <c r="CC52" s="252"/>
      <c r="CD52" s="252"/>
      <c r="CE52" s="252"/>
      <c r="CF52" s="252"/>
      <c r="CG52" s="252"/>
      <c r="CH52" s="2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</row>
    <row r="53" spans="1:114" ht="16" customHeight="1" x14ac:dyDescent="0.35">
      <c r="A53" s="274"/>
      <c r="B53" s="255"/>
      <c r="C53" s="136" t="s">
        <v>195</v>
      </c>
      <c r="D53" s="20"/>
      <c r="E53" s="21"/>
      <c r="F53" s="17"/>
      <c r="G53" s="166"/>
      <c r="H53" s="128"/>
    </row>
    <row r="54" spans="1:114" ht="16" customHeight="1" x14ac:dyDescent="0.35">
      <c r="A54" s="274"/>
      <c r="B54" s="255"/>
      <c r="C54" s="176" t="s">
        <v>199</v>
      </c>
      <c r="D54" s="20"/>
      <c r="E54" s="21"/>
      <c r="F54" s="17"/>
      <c r="G54" s="166"/>
      <c r="H54" s="128"/>
    </row>
    <row r="55" spans="1:114" ht="16" customHeight="1" x14ac:dyDescent="0.35">
      <c r="A55" s="274"/>
      <c r="B55" s="255"/>
      <c r="C55" s="136" t="s">
        <v>273</v>
      </c>
      <c r="D55" s="20"/>
      <c r="E55" s="21"/>
      <c r="F55" s="17"/>
      <c r="G55" s="166"/>
      <c r="H55" s="128"/>
    </row>
    <row r="56" spans="1:114" s="105" customFormat="1" ht="16" customHeight="1" x14ac:dyDescent="0.35">
      <c r="A56" s="274"/>
      <c r="B56" s="258"/>
      <c r="C56" s="177" t="s">
        <v>199</v>
      </c>
      <c r="D56" s="219"/>
      <c r="E56" s="106"/>
      <c r="F56" s="220"/>
      <c r="G56" s="199"/>
      <c r="H56" s="129" t="s">
        <v>206</v>
      </c>
      <c r="I56" s="251"/>
      <c r="J56" s="252"/>
      <c r="K56" s="252"/>
      <c r="L56" s="252"/>
      <c r="M56" s="252"/>
      <c r="N56" s="252"/>
      <c r="O56" s="252"/>
      <c r="P56" s="252"/>
      <c r="Q56" s="252"/>
      <c r="R56" s="252"/>
      <c r="S56" s="252"/>
      <c r="T56" s="252"/>
      <c r="U56" s="252"/>
      <c r="V56" s="252"/>
      <c r="W56" s="252"/>
      <c r="X56" s="252"/>
      <c r="Y56" s="252"/>
      <c r="Z56" s="252"/>
      <c r="AA56" s="252"/>
      <c r="AB56" s="252"/>
      <c r="AC56" s="252"/>
      <c r="AD56" s="252"/>
      <c r="AE56" s="252"/>
      <c r="AF56" s="252"/>
      <c r="AG56" s="252"/>
      <c r="AH56" s="252"/>
      <c r="AI56" s="252"/>
      <c r="AJ56" s="252"/>
      <c r="AK56" s="252"/>
      <c r="AL56" s="252"/>
      <c r="AM56" s="252"/>
      <c r="AN56" s="252"/>
      <c r="AO56" s="252"/>
      <c r="AP56" s="252"/>
      <c r="AQ56" s="252"/>
      <c r="AR56" s="252"/>
      <c r="AS56" s="252"/>
      <c r="AT56" s="252"/>
      <c r="AU56" s="252"/>
      <c r="AV56" s="252"/>
      <c r="AW56" s="252"/>
      <c r="AX56" s="252"/>
      <c r="AY56" s="252"/>
      <c r="AZ56" s="252"/>
      <c r="BA56" s="252"/>
      <c r="BB56" s="252"/>
      <c r="BC56" s="252"/>
      <c r="BD56" s="252"/>
      <c r="BE56" s="252"/>
      <c r="BF56" s="252"/>
      <c r="BG56" s="252"/>
      <c r="BH56" s="252"/>
      <c r="BI56" s="252"/>
      <c r="BJ56" s="252"/>
      <c r="BK56" s="252"/>
      <c r="BL56" s="252"/>
      <c r="BM56" s="252"/>
      <c r="BN56" s="252"/>
      <c r="BO56" s="252"/>
      <c r="BP56" s="252"/>
      <c r="BQ56" s="252"/>
      <c r="BR56" s="252"/>
      <c r="BS56" s="252"/>
      <c r="BT56" s="252"/>
      <c r="BU56" s="252"/>
      <c r="BV56" s="252"/>
      <c r="BW56" s="252"/>
      <c r="BX56" s="252"/>
      <c r="BY56" s="252"/>
      <c r="BZ56" s="252"/>
      <c r="CA56" s="252"/>
      <c r="CB56" s="252"/>
      <c r="CC56" s="252"/>
      <c r="CD56" s="252"/>
      <c r="CE56" s="252"/>
      <c r="CF56" s="252"/>
      <c r="CG56" s="252"/>
      <c r="CH56" s="252"/>
    </row>
    <row r="57" spans="1:114" ht="16" customHeight="1" x14ac:dyDescent="0.35">
      <c r="A57" s="274"/>
      <c r="B57" s="255"/>
      <c r="C57" s="136" t="s">
        <v>196</v>
      </c>
      <c r="D57" s="20"/>
      <c r="E57" s="21"/>
      <c r="F57" s="17"/>
      <c r="G57" s="12"/>
      <c r="H57" s="128"/>
    </row>
    <row r="58" spans="1:114" ht="16" customHeight="1" x14ac:dyDescent="0.35">
      <c r="A58" s="274"/>
      <c r="B58" s="255"/>
      <c r="C58" s="176" t="s">
        <v>199</v>
      </c>
      <c r="D58" s="20"/>
      <c r="E58" s="21"/>
      <c r="F58" s="17"/>
      <c r="G58" s="12"/>
      <c r="H58" s="128"/>
    </row>
    <row r="59" spans="1:114" ht="16" customHeight="1" x14ac:dyDescent="0.35">
      <c r="A59" s="274"/>
      <c r="B59" s="255"/>
      <c r="C59" s="136" t="s">
        <v>274</v>
      </c>
      <c r="D59" s="20"/>
      <c r="E59" s="21"/>
      <c r="F59" s="17"/>
      <c r="G59" s="12"/>
      <c r="H59" s="128"/>
    </row>
    <row r="60" spans="1:114" s="105" customFormat="1" ht="16" customHeight="1" x14ac:dyDescent="0.35">
      <c r="A60" s="274"/>
      <c r="B60" s="258"/>
      <c r="C60" s="177" t="s">
        <v>199</v>
      </c>
      <c r="D60" s="219"/>
      <c r="E60" s="106"/>
      <c r="F60" s="220"/>
      <c r="G60" s="104"/>
      <c r="H60" s="129" t="s">
        <v>206</v>
      </c>
      <c r="I60" s="251"/>
      <c r="J60" s="252"/>
      <c r="K60" s="252"/>
      <c r="L60" s="252"/>
      <c r="M60" s="252"/>
      <c r="N60" s="252"/>
      <c r="O60" s="252"/>
      <c r="P60" s="252"/>
      <c r="Q60" s="252"/>
      <c r="R60" s="252"/>
      <c r="S60" s="252"/>
      <c r="T60" s="252"/>
      <c r="U60" s="252"/>
      <c r="V60" s="252"/>
      <c r="W60" s="252"/>
      <c r="X60" s="252"/>
      <c r="Y60" s="252"/>
      <c r="Z60" s="252"/>
      <c r="AA60" s="252"/>
      <c r="AB60" s="252"/>
      <c r="AC60" s="252"/>
      <c r="AD60" s="252"/>
      <c r="AE60" s="252"/>
      <c r="AF60" s="252"/>
      <c r="AG60" s="252"/>
      <c r="AH60" s="252"/>
      <c r="AI60" s="252"/>
      <c r="AJ60" s="252"/>
      <c r="AK60" s="252"/>
      <c r="AL60" s="252"/>
      <c r="AM60" s="252"/>
      <c r="AN60" s="252"/>
      <c r="AO60" s="252"/>
      <c r="AP60" s="252"/>
      <c r="AQ60" s="252"/>
      <c r="AR60" s="252"/>
      <c r="AS60" s="252"/>
      <c r="AT60" s="252"/>
      <c r="AU60" s="252"/>
      <c r="AV60" s="252"/>
      <c r="AW60" s="252"/>
      <c r="AX60" s="252"/>
      <c r="AY60" s="252"/>
      <c r="AZ60" s="252"/>
      <c r="BA60" s="252"/>
      <c r="BB60" s="252"/>
      <c r="BC60" s="252"/>
      <c r="BD60" s="252"/>
      <c r="BE60" s="252"/>
      <c r="BF60" s="252"/>
      <c r="BG60" s="252"/>
      <c r="BH60" s="252"/>
      <c r="BI60" s="252"/>
      <c r="BJ60" s="252"/>
      <c r="BK60" s="252"/>
      <c r="BL60" s="252"/>
      <c r="BM60" s="252"/>
      <c r="BN60" s="252"/>
      <c r="BO60" s="252"/>
      <c r="BP60" s="252"/>
      <c r="BQ60" s="252"/>
      <c r="BR60" s="252"/>
      <c r="BS60" s="252"/>
      <c r="BT60" s="252"/>
      <c r="BU60" s="252"/>
      <c r="BV60" s="252"/>
      <c r="BW60" s="252"/>
      <c r="BX60" s="252"/>
      <c r="BY60" s="252"/>
      <c r="BZ60" s="252"/>
      <c r="CA60" s="252"/>
      <c r="CB60" s="252"/>
      <c r="CC60" s="252"/>
      <c r="CD60" s="252"/>
      <c r="CE60" s="252"/>
      <c r="CF60" s="252"/>
      <c r="CG60" s="252"/>
      <c r="CH60" s="252"/>
    </row>
    <row r="61" spans="1:114" ht="16" customHeight="1" x14ac:dyDescent="0.35">
      <c r="A61" s="274"/>
      <c r="B61" s="255"/>
      <c r="C61" s="136" t="s">
        <v>208</v>
      </c>
      <c r="D61" s="20"/>
      <c r="E61" s="20"/>
      <c r="F61" s="17"/>
      <c r="G61" s="12"/>
      <c r="H61" s="128"/>
    </row>
    <row r="62" spans="1:114" ht="16" customHeight="1" x14ac:dyDescent="0.35">
      <c r="A62" s="274"/>
      <c r="B62" s="255"/>
      <c r="C62" s="176" t="s">
        <v>199</v>
      </c>
      <c r="D62" s="20"/>
      <c r="E62" s="20"/>
      <c r="F62" s="17"/>
      <c r="G62" s="12"/>
      <c r="H62" s="128"/>
    </row>
    <row r="63" spans="1:114" ht="16" customHeight="1" x14ac:dyDescent="0.35">
      <c r="A63" s="274"/>
      <c r="B63" s="259"/>
      <c r="C63" s="233" t="s">
        <v>277</v>
      </c>
      <c r="D63" s="234"/>
      <c r="E63" s="234"/>
      <c r="F63" s="235"/>
      <c r="G63" s="236"/>
      <c r="H63" s="237"/>
    </row>
    <row r="64" spans="1:114" s="103" customFormat="1" ht="16" customHeight="1" x14ac:dyDescent="0.35">
      <c r="A64" s="274"/>
      <c r="B64" s="258"/>
      <c r="C64" s="221" t="s">
        <v>199</v>
      </c>
      <c r="D64" s="219"/>
      <c r="E64" s="219"/>
      <c r="F64" s="220"/>
      <c r="G64" s="104"/>
      <c r="H64" s="129" t="s">
        <v>206</v>
      </c>
      <c r="I64" s="251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/>
      <c r="AA64" s="252"/>
      <c r="AB64" s="252"/>
      <c r="AC64" s="252"/>
      <c r="AD64" s="252"/>
      <c r="AE64" s="252"/>
      <c r="AF64" s="252"/>
      <c r="AG64" s="252"/>
      <c r="AH64" s="252"/>
      <c r="AI64" s="252"/>
      <c r="AJ64" s="252"/>
      <c r="AK64" s="252"/>
      <c r="AL64" s="252"/>
      <c r="AM64" s="252"/>
      <c r="AN64" s="252"/>
      <c r="AO64" s="252"/>
      <c r="AP64" s="252"/>
      <c r="AQ64" s="252"/>
      <c r="AR64" s="252"/>
      <c r="AS64" s="252"/>
      <c r="AT64" s="252"/>
      <c r="AU64" s="252"/>
      <c r="AV64" s="252"/>
      <c r="AW64" s="252"/>
      <c r="AX64" s="252"/>
      <c r="AY64" s="252"/>
      <c r="AZ64" s="252"/>
      <c r="BA64" s="252"/>
      <c r="BB64" s="252"/>
      <c r="BC64" s="252"/>
      <c r="BD64" s="252"/>
      <c r="BE64" s="252"/>
      <c r="BF64" s="252"/>
      <c r="BG64" s="252"/>
      <c r="BH64" s="252"/>
      <c r="BI64" s="252"/>
      <c r="BJ64" s="252"/>
      <c r="BK64" s="252"/>
      <c r="BL64" s="252"/>
      <c r="BM64" s="252"/>
      <c r="BN64" s="252"/>
      <c r="BO64" s="252"/>
      <c r="BP64" s="252"/>
      <c r="BQ64" s="252"/>
      <c r="BR64" s="252"/>
      <c r="BS64" s="252"/>
      <c r="BT64" s="252"/>
      <c r="BU64" s="252"/>
      <c r="BV64" s="252"/>
      <c r="BW64" s="252"/>
      <c r="BX64" s="252"/>
      <c r="BY64" s="252"/>
      <c r="BZ64" s="252"/>
      <c r="CA64" s="252"/>
      <c r="CB64" s="252"/>
      <c r="CC64" s="252"/>
      <c r="CD64" s="252"/>
      <c r="CE64" s="252"/>
      <c r="CF64" s="252"/>
      <c r="CG64" s="252"/>
      <c r="CH64" s="252"/>
      <c r="CI64" s="131"/>
    </row>
    <row r="65" spans="1:114" ht="16" customHeight="1" x14ac:dyDescent="0.35">
      <c r="A65" s="274"/>
      <c r="B65" s="260"/>
      <c r="C65" s="222"/>
      <c r="D65" s="238"/>
      <c r="E65" s="238"/>
      <c r="F65" s="216"/>
      <c r="G65" s="217"/>
      <c r="H65" s="218"/>
    </row>
    <row r="66" spans="1:114" s="103" customFormat="1" ht="34" customHeight="1" x14ac:dyDescent="0.35">
      <c r="A66" s="274"/>
      <c r="B66" s="258"/>
      <c r="C66" s="221" t="s">
        <v>289</v>
      </c>
      <c r="D66" s="155" t="s">
        <v>233</v>
      </c>
      <c r="E66" s="117" t="s">
        <v>279</v>
      </c>
      <c r="F66" s="220"/>
      <c r="G66" s="199">
        <v>46188</v>
      </c>
      <c r="H66" s="129" t="s">
        <v>278</v>
      </c>
      <c r="I66" s="251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/>
      <c r="AA66" s="252"/>
      <c r="AB66" s="252"/>
      <c r="AC66" s="252"/>
      <c r="AD66" s="252"/>
      <c r="AE66" s="252"/>
      <c r="AF66" s="252"/>
      <c r="AG66" s="252"/>
      <c r="AH66" s="252"/>
      <c r="AI66" s="252"/>
      <c r="AJ66" s="252"/>
      <c r="AK66" s="252"/>
      <c r="AL66" s="252"/>
      <c r="AM66" s="252"/>
      <c r="AN66" s="252"/>
      <c r="AO66" s="252"/>
      <c r="AP66" s="252"/>
      <c r="AQ66" s="252"/>
      <c r="AR66" s="252"/>
      <c r="AS66" s="252"/>
      <c r="AT66" s="252"/>
      <c r="AU66" s="252"/>
      <c r="AV66" s="252"/>
      <c r="AW66" s="252"/>
      <c r="AX66" s="252"/>
      <c r="AY66" s="252"/>
      <c r="AZ66" s="252"/>
      <c r="BA66" s="252"/>
      <c r="BB66" s="252"/>
      <c r="BC66" s="252"/>
      <c r="BD66" s="252"/>
      <c r="BE66" s="252"/>
      <c r="BF66" s="252"/>
      <c r="BG66" s="252"/>
      <c r="BH66" s="252"/>
      <c r="BI66" s="252"/>
      <c r="BJ66" s="252"/>
      <c r="BK66" s="252"/>
      <c r="BL66" s="252"/>
      <c r="BM66" s="252"/>
      <c r="BN66" s="252"/>
      <c r="BO66" s="252"/>
      <c r="BP66" s="252"/>
      <c r="BQ66" s="252"/>
      <c r="BR66" s="252"/>
      <c r="BS66" s="252"/>
      <c r="BT66" s="252"/>
      <c r="BU66" s="252"/>
      <c r="BV66" s="252"/>
      <c r="BW66" s="252"/>
      <c r="BX66" s="252"/>
      <c r="BY66" s="252"/>
      <c r="BZ66" s="252"/>
      <c r="CA66" s="252"/>
      <c r="CB66" s="252"/>
      <c r="CC66" s="252"/>
      <c r="CD66" s="252"/>
      <c r="CE66" s="252"/>
      <c r="CF66" s="252"/>
      <c r="CG66" s="252"/>
      <c r="CH66" s="252"/>
      <c r="CI66" s="131"/>
    </row>
    <row r="67" spans="1:114" s="122" customFormat="1" ht="23.5" customHeight="1" x14ac:dyDescent="0.35">
      <c r="A67" s="274"/>
      <c r="B67" s="261">
        <v>3</v>
      </c>
      <c r="C67" s="239" t="s">
        <v>292</v>
      </c>
      <c r="D67" s="239"/>
      <c r="E67" s="240"/>
      <c r="F67" s="241"/>
      <c r="G67" s="174">
        <v>46325</v>
      </c>
      <c r="H67" s="242"/>
      <c r="I67" s="251"/>
      <c r="J67" s="252"/>
      <c r="K67" s="252"/>
      <c r="L67" s="252"/>
      <c r="M67" s="252"/>
      <c r="N67" s="252"/>
      <c r="O67" s="252"/>
      <c r="P67" s="252"/>
      <c r="Q67" s="252"/>
      <c r="R67" s="252"/>
      <c r="S67" s="252"/>
      <c r="T67" s="252"/>
      <c r="U67" s="252"/>
      <c r="V67" s="252"/>
      <c r="W67" s="252"/>
      <c r="X67" s="252"/>
      <c r="Y67" s="252"/>
      <c r="Z67" s="252"/>
      <c r="AA67" s="252"/>
      <c r="AB67" s="252"/>
      <c r="AC67" s="252"/>
      <c r="AD67" s="252"/>
      <c r="AE67" s="252"/>
      <c r="AF67" s="252"/>
      <c r="AG67" s="252"/>
      <c r="AH67" s="252"/>
      <c r="AI67" s="252"/>
      <c r="AJ67" s="252"/>
      <c r="AK67" s="252"/>
      <c r="AL67" s="252"/>
      <c r="AM67" s="252"/>
      <c r="AN67" s="252"/>
      <c r="AO67" s="252"/>
      <c r="AP67" s="252"/>
      <c r="AQ67" s="252"/>
      <c r="AR67" s="252"/>
      <c r="AS67" s="252"/>
      <c r="AT67" s="252"/>
      <c r="AU67" s="252"/>
      <c r="AV67" s="252"/>
      <c r="AW67" s="252"/>
      <c r="AX67" s="252"/>
      <c r="AY67" s="252"/>
      <c r="AZ67" s="252"/>
      <c r="BA67" s="252"/>
      <c r="BB67" s="252"/>
      <c r="BC67" s="252"/>
      <c r="BD67" s="252"/>
      <c r="BE67" s="252"/>
      <c r="BF67" s="252"/>
      <c r="BG67" s="252"/>
      <c r="BH67" s="252"/>
      <c r="BI67" s="252"/>
      <c r="BJ67" s="252"/>
      <c r="BK67" s="252"/>
      <c r="BL67" s="252"/>
      <c r="BM67" s="252"/>
      <c r="BN67" s="252"/>
      <c r="BO67" s="252"/>
      <c r="BP67" s="252"/>
      <c r="BQ67" s="252"/>
      <c r="BR67" s="252"/>
      <c r="BS67" s="252"/>
      <c r="BT67" s="252"/>
      <c r="BU67" s="252"/>
      <c r="BV67" s="252"/>
      <c r="BW67" s="252"/>
      <c r="BX67" s="252"/>
      <c r="BY67" s="252"/>
      <c r="BZ67" s="252"/>
      <c r="CA67" s="252"/>
      <c r="CB67" s="252"/>
      <c r="CC67" s="252"/>
      <c r="CD67" s="252"/>
      <c r="CE67" s="252"/>
      <c r="CF67" s="252"/>
      <c r="CG67" s="252"/>
      <c r="CH67" s="252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</row>
    <row r="68" spans="1:114" s="185" customFormat="1" ht="16" customHeight="1" x14ac:dyDescent="0.35">
      <c r="A68" s="274"/>
      <c r="B68" s="262"/>
      <c r="C68" s="178" t="s">
        <v>283</v>
      </c>
      <c r="D68" s="179"/>
      <c r="E68" s="180"/>
      <c r="F68" s="181"/>
      <c r="G68" s="182">
        <v>46178</v>
      </c>
      <c r="H68" s="184" t="s">
        <v>173</v>
      </c>
      <c r="I68" s="251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/>
      <c r="AA68" s="252"/>
      <c r="AB68" s="252"/>
      <c r="AC68" s="252"/>
      <c r="AD68" s="252"/>
      <c r="AE68" s="252"/>
      <c r="AF68" s="252"/>
      <c r="AG68" s="252"/>
      <c r="AH68" s="252"/>
      <c r="AI68" s="252"/>
      <c r="AJ68" s="252"/>
      <c r="AK68" s="252"/>
      <c r="AL68" s="252"/>
      <c r="AM68" s="252"/>
      <c r="AN68" s="252"/>
      <c r="AO68" s="252"/>
      <c r="AP68" s="252"/>
      <c r="AQ68" s="252"/>
      <c r="AR68" s="252"/>
      <c r="AS68" s="252"/>
      <c r="AT68" s="252"/>
      <c r="AU68" s="252"/>
      <c r="AV68" s="252"/>
      <c r="AW68" s="252"/>
      <c r="AX68" s="252"/>
      <c r="AY68" s="252"/>
      <c r="AZ68" s="252"/>
      <c r="BA68" s="252"/>
      <c r="BB68" s="252"/>
      <c r="BC68" s="252"/>
      <c r="BD68" s="252"/>
      <c r="BE68" s="252"/>
      <c r="BF68" s="252"/>
      <c r="BG68" s="252"/>
      <c r="BH68" s="252"/>
      <c r="BI68" s="252"/>
      <c r="BJ68" s="252"/>
      <c r="BK68" s="252"/>
      <c r="BL68" s="252"/>
      <c r="BM68" s="252"/>
      <c r="BN68" s="252"/>
      <c r="BO68" s="252"/>
      <c r="BP68" s="252"/>
      <c r="BQ68" s="252"/>
      <c r="BR68" s="252"/>
      <c r="BS68" s="252"/>
      <c r="BT68" s="252"/>
      <c r="BU68" s="252"/>
      <c r="BV68" s="252"/>
      <c r="BW68" s="252"/>
      <c r="BX68" s="252"/>
      <c r="BY68" s="252"/>
      <c r="BZ68" s="252"/>
      <c r="CA68" s="252"/>
      <c r="CB68" s="252"/>
      <c r="CC68" s="252"/>
      <c r="CD68" s="252"/>
      <c r="CE68" s="252"/>
      <c r="CF68" s="252"/>
      <c r="CG68" s="252"/>
      <c r="CH68" s="252"/>
      <c r="CI68" s="186"/>
    </row>
    <row r="69" spans="1:114" s="3" customFormat="1" ht="16" customHeight="1" x14ac:dyDescent="0.35">
      <c r="A69" s="274"/>
      <c r="B69" s="255"/>
      <c r="C69" s="198" t="s">
        <v>286</v>
      </c>
      <c r="D69" s="20"/>
      <c r="E69" s="140"/>
      <c r="F69" s="17"/>
      <c r="G69" s="12"/>
      <c r="H69" s="128"/>
      <c r="I69" s="251"/>
      <c r="J69" s="252"/>
      <c r="K69" s="252"/>
      <c r="L69" s="252"/>
      <c r="M69" s="252"/>
      <c r="N69" s="252"/>
      <c r="O69" s="252"/>
      <c r="P69" s="252"/>
      <c r="Q69" s="252"/>
      <c r="R69" s="252"/>
      <c r="S69" s="252"/>
      <c r="T69" s="252"/>
      <c r="U69" s="252"/>
      <c r="V69" s="252"/>
      <c r="W69" s="252"/>
      <c r="X69" s="252"/>
      <c r="Y69" s="252"/>
      <c r="Z69" s="252"/>
      <c r="AA69" s="252"/>
      <c r="AB69" s="252"/>
      <c r="AC69" s="252"/>
      <c r="AD69" s="252"/>
      <c r="AE69" s="252"/>
      <c r="AF69" s="252"/>
      <c r="AG69" s="252"/>
      <c r="AH69" s="252"/>
      <c r="AI69" s="252"/>
      <c r="AJ69" s="252"/>
      <c r="AK69" s="252"/>
      <c r="AL69" s="252"/>
      <c r="AM69" s="252"/>
      <c r="AN69" s="252"/>
      <c r="AO69" s="252"/>
      <c r="AP69" s="252"/>
      <c r="AQ69" s="252"/>
      <c r="AR69" s="252"/>
      <c r="AS69" s="252"/>
      <c r="AT69" s="252"/>
      <c r="AU69" s="252"/>
      <c r="AV69" s="252"/>
      <c r="AW69" s="252"/>
      <c r="AX69" s="252"/>
      <c r="AY69" s="252"/>
      <c r="AZ69" s="252"/>
      <c r="BA69" s="252"/>
      <c r="BB69" s="252"/>
      <c r="BC69" s="252"/>
      <c r="BD69" s="252"/>
      <c r="BE69" s="252"/>
      <c r="BF69" s="252"/>
      <c r="BG69" s="252"/>
      <c r="BH69" s="252"/>
      <c r="BI69" s="252"/>
      <c r="BJ69" s="252"/>
      <c r="BK69" s="252"/>
      <c r="BL69" s="252"/>
      <c r="BM69" s="252"/>
      <c r="BN69" s="252"/>
      <c r="BO69" s="252"/>
      <c r="BP69" s="252"/>
      <c r="BQ69" s="252"/>
      <c r="BR69" s="252"/>
      <c r="BS69" s="252"/>
      <c r="BT69" s="252"/>
      <c r="BU69" s="252"/>
      <c r="BV69" s="252"/>
      <c r="BW69" s="252"/>
      <c r="BX69" s="252"/>
      <c r="BY69" s="252"/>
      <c r="BZ69" s="252"/>
      <c r="CA69" s="252"/>
      <c r="CB69" s="252"/>
      <c r="CC69" s="252"/>
      <c r="CD69" s="252"/>
      <c r="CE69" s="252"/>
      <c r="CF69" s="252"/>
      <c r="CG69" s="252"/>
      <c r="CH69" s="252"/>
      <c r="CI69" s="130"/>
    </row>
    <row r="70" spans="1:114" s="3" customFormat="1" ht="16" customHeight="1" x14ac:dyDescent="0.35">
      <c r="A70" s="274"/>
      <c r="B70" s="255"/>
      <c r="C70" s="198" t="s">
        <v>284</v>
      </c>
      <c r="D70" s="20"/>
      <c r="E70" s="140"/>
      <c r="F70" s="17"/>
      <c r="G70" s="12"/>
      <c r="H70" s="128"/>
      <c r="I70" s="251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/>
      <c r="AA70" s="252"/>
      <c r="AB70" s="252"/>
      <c r="AC70" s="252"/>
      <c r="AD70" s="252"/>
      <c r="AE70" s="252"/>
      <c r="AF70" s="252"/>
      <c r="AG70" s="252"/>
      <c r="AH70" s="252"/>
      <c r="AI70" s="252"/>
      <c r="AJ70" s="252"/>
      <c r="AK70" s="252"/>
      <c r="AL70" s="252"/>
      <c r="AM70" s="252"/>
      <c r="AN70" s="252"/>
      <c r="AO70" s="252"/>
      <c r="AP70" s="252"/>
      <c r="AQ70" s="252"/>
      <c r="AR70" s="252"/>
      <c r="AS70" s="252"/>
      <c r="AT70" s="252"/>
      <c r="AU70" s="252"/>
      <c r="AV70" s="252"/>
      <c r="AW70" s="252"/>
      <c r="AX70" s="252"/>
      <c r="AY70" s="252"/>
      <c r="AZ70" s="252"/>
      <c r="BA70" s="252"/>
      <c r="BB70" s="252"/>
      <c r="BC70" s="252"/>
      <c r="BD70" s="252"/>
      <c r="BE70" s="252"/>
      <c r="BF70" s="252"/>
      <c r="BG70" s="252"/>
      <c r="BH70" s="252"/>
      <c r="BI70" s="252"/>
      <c r="BJ70" s="252"/>
      <c r="BK70" s="252"/>
      <c r="BL70" s="252"/>
      <c r="BM70" s="252"/>
      <c r="BN70" s="252"/>
      <c r="BO70" s="252"/>
      <c r="BP70" s="252"/>
      <c r="BQ70" s="252"/>
      <c r="BR70" s="252"/>
      <c r="BS70" s="252"/>
      <c r="BT70" s="252"/>
      <c r="BU70" s="252"/>
      <c r="BV70" s="252"/>
      <c r="BW70" s="252"/>
      <c r="BX70" s="252"/>
      <c r="BY70" s="252"/>
      <c r="BZ70" s="252"/>
      <c r="CA70" s="252"/>
      <c r="CB70" s="252"/>
      <c r="CC70" s="252"/>
      <c r="CD70" s="252"/>
      <c r="CE70" s="252"/>
      <c r="CF70" s="252"/>
      <c r="CG70" s="252"/>
      <c r="CH70" s="252"/>
      <c r="CI70" s="130"/>
    </row>
    <row r="71" spans="1:114" s="3" customFormat="1" ht="16" customHeight="1" x14ac:dyDescent="0.35">
      <c r="A71" s="274"/>
      <c r="B71" s="255"/>
      <c r="C71" s="198" t="s">
        <v>285</v>
      </c>
      <c r="D71" s="20"/>
      <c r="E71" s="140"/>
      <c r="F71" s="17"/>
      <c r="G71" s="12"/>
      <c r="H71" s="128"/>
      <c r="I71" s="251"/>
      <c r="J71" s="252"/>
      <c r="K71" s="252"/>
      <c r="L71" s="252"/>
      <c r="M71" s="252"/>
      <c r="N71" s="252"/>
      <c r="O71" s="252"/>
      <c r="P71" s="252"/>
      <c r="Q71" s="252"/>
      <c r="R71" s="252"/>
      <c r="S71" s="252"/>
      <c r="T71" s="252"/>
      <c r="U71" s="252"/>
      <c r="V71" s="252"/>
      <c r="W71" s="252"/>
      <c r="X71" s="252"/>
      <c r="Y71" s="252"/>
      <c r="Z71" s="252"/>
      <c r="AA71" s="252"/>
      <c r="AB71" s="252"/>
      <c r="AC71" s="252"/>
      <c r="AD71" s="252"/>
      <c r="AE71" s="252"/>
      <c r="AF71" s="252"/>
      <c r="AG71" s="252"/>
      <c r="AH71" s="252"/>
      <c r="AI71" s="252"/>
      <c r="AJ71" s="252"/>
      <c r="AK71" s="252"/>
      <c r="AL71" s="252"/>
      <c r="AM71" s="252"/>
      <c r="AN71" s="252"/>
      <c r="AO71" s="252"/>
      <c r="AP71" s="252"/>
      <c r="AQ71" s="252"/>
      <c r="AR71" s="252"/>
      <c r="AS71" s="252"/>
      <c r="AT71" s="252"/>
      <c r="AU71" s="252"/>
      <c r="AV71" s="252"/>
      <c r="AW71" s="252"/>
      <c r="AX71" s="252"/>
      <c r="AY71" s="252"/>
      <c r="AZ71" s="252"/>
      <c r="BA71" s="252"/>
      <c r="BB71" s="252"/>
      <c r="BC71" s="252"/>
      <c r="BD71" s="252"/>
      <c r="BE71" s="252"/>
      <c r="BF71" s="252"/>
      <c r="BG71" s="252"/>
      <c r="BH71" s="252"/>
      <c r="BI71" s="252"/>
      <c r="BJ71" s="252"/>
      <c r="BK71" s="252"/>
      <c r="BL71" s="252"/>
      <c r="BM71" s="252"/>
      <c r="BN71" s="252"/>
      <c r="BO71" s="252"/>
      <c r="BP71" s="252"/>
      <c r="BQ71" s="252"/>
      <c r="BR71" s="252"/>
      <c r="BS71" s="252"/>
      <c r="BT71" s="252"/>
      <c r="BU71" s="252"/>
      <c r="BV71" s="252"/>
      <c r="BW71" s="252"/>
      <c r="BX71" s="252"/>
      <c r="BY71" s="252"/>
      <c r="BZ71" s="252"/>
      <c r="CA71" s="252"/>
      <c r="CB71" s="252"/>
      <c r="CC71" s="252"/>
      <c r="CD71" s="252"/>
      <c r="CE71" s="252"/>
      <c r="CF71" s="252"/>
      <c r="CG71" s="252"/>
      <c r="CH71" s="252"/>
      <c r="CI71" s="130"/>
    </row>
    <row r="72" spans="1:114" s="121" customFormat="1" ht="30" customHeight="1" x14ac:dyDescent="0.35">
      <c r="A72" s="274"/>
      <c r="B72" s="156">
        <v>4</v>
      </c>
      <c r="C72" s="119" t="s">
        <v>302</v>
      </c>
      <c r="D72" s="119"/>
      <c r="E72" s="126"/>
      <c r="F72" s="120"/>
      <c r="G72" s="174">
        <v>46295</v>
      </c>
      <c r="H72" s="127"/>
      <c r="I72" s="251"/>
      <c r="J72" s="252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/>
      <c r="AA72" s="252"/>
      <c r="AB72" s="252"/>
      <c r="AC72" s="252"/>
      <c r="AD72" s="252"/>
      <c r="AE72" s="252"/>
      <c r="AF72" s="252"/>
      <c r="AG72" s="252"/>
      <c r="AH72" s="252"/>
      <c r="AI72" s="252"/>
      <c r="AJ72" s="252"/>
      <c r="AK72" s="252"/>
      <c r="AL72" s="252"/>
      <c r="AM72" s="252"/>
      <c r="AN72" s="252"/>
      <c r="AO72" s="252"/>
      <c r="AP72" s="252"/>
      <c r="AQ72" s="252"/>
      <c r="AR72" s="252"/>
      <c r="AS72" s="252"/>
      <c r="AT72" s="252"/>
      <c r="AU72" s="252"/>
      <c r="AV72" s="252"/>
      <c r="AW72" s="252"/>
      <c r="AX72" s="252"/>
      <c r="AY72" s="252"/>
      <c r="AZ72" s="252"/>
      <c r="BA72" s="252"/>
      <c r="BB72" s="252"/>
      <c r="BC72" s="252"/>
      <c r="BD72" s="252"/>
      <c r="BE72" s="252"/>
      <c r="BF72" s="252"/>
      <c r="BG72" s="252"/>
      <c r="BH72" s="252"/>
      <c r="BI72" s="252"/>
      <c r="BJ72" s="252"/>
      <c r="BK72" s="252"/>
      <c r="BL72" s="252"/>
      <c r="BM72" s="252"/>
      <c r="BN72" s="252"/>
      <c r="BO72" s="252"/>
      <c r="BP72" s="252"/>
      <c r="BQ72" s="252"/>
      <c r="BR72" s="252"/>
      <c r="BS72" s="252"/>
      <c r="BT72" s="252"/>
      <c r="BU72" s="252"/>
      <c r="BV72" s="252"/>
      <c r="BW72" s="252"/>
      <c r="BX72" s="252"/>
      <c r="BY72" s="252"/>
      <c r="BZ72" s="252"/>
      <c r="CA72" s="252"/>
      <c r="CB72" s="252"/>
      <c r="CC72" s="252"/>
      <c r="CD72" s="252"/>
      <c r="CE72" s="252"/>
      <c r="CF72" s="252"/>
      <c r="CG72" s="252"/>
      <c r="CH72" s="252"/>
      <c r="CI72" s="130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</row>
    <row r="73" spans="1:114" s="232" customFormat="1" ht="15" customHeight="1" x14ac:dyDescent="0.35">
      <c r="A73" s="274"/>
      <c r="B73" s="263"/>
      <c r="C73" s="198" t="s">
        <v>295</v>
      </c>
      <c r="D73" s="228"/>
      <c r="E73" s="229"/>
      <c r="F73" s="230"/>
      <c r="G73" s="231"/>
      <c r="H73" s="246"/>
      <c r="I73" s="251"/>
      <c r="J73" s="252"/>
      <c r="K73" s="252"/>
      <c r="L73" s="252"/>
      <c r="M73" s="252"/>
      <c r="N73" s="252"/>
      <c r="O73" s="252"/>
      <c r="P73" s="252"/>
      <c r="Q73" s="252"/>
      <c r="R73" s="252"/>
      <c r="S73" s="252"/>
      <c r="T73" s="252"/>
      <c r="U73" s="252"/>
      <c r="V73" s="252"/>
      <c r="W73" s="252"/>
      <c r="X73" s="252"/>
      <c r="Y73" s="252"/>
      <c r="Z73" s="252"/>
      <c r="AA73" s="252"/>
      <c r="AB73" s="252"/>
      <c r="AC73" s="252"/>
      <c r="AD73" s="252"/>
      <c r="AE73" s="252"/>
      <c r="AF73" s="252"/>
      <c r="AG73" s="252"/>
      <c r="AH73" s="252"/>
      <c r="AI73" s="252"/>
      <c r="AJ73" s="252"/>
      <c r="AK73" s="252"/>
      <c r="AL73" s="252"/>
      <c r="AM73" s="252"/>
      <c r="AN73" s="252"/>
      <c r="AO73" s="252"/>
      <c r="AP73" s="252"/>
      <c r="AQ73" s="252"/>
      <c r="AR73" s="252"/>
      <c r="AS73" s="252"/>
      <c r="AT73" s="252"/>
      <c r="AU73" s="252"/>
      <c r="AV73" s="252"/>
      <c r="AW73" s="252"/>
      <c r="AX73" s="252"/>
      <c r="AY73" s="252"/>
      <c r="AZ73" s="252"/>
      <c r="BA73" s="252"/>
      <c r="BB73" s="252"/>
      <c r="BC73" s="252"/>
      <c r="BD73" s="252"/>
      <c r="BE73" s="252"/>
      <c r="BF73" s="252"/>
      <c r="BG73" s="252"/>
      <c r="BH73" s="252"/>
      <c r="BI73" s="252"/>
      <c r="BJ73" s="252"/>
      <c r="BK73" s="252"/>
      <c r="BL73" s="252"/>
      <c r="BM73" s="252"/>
      <c r="BN73" s="252"/>
      <c r="BO73" s="252"/>
      <c r="BP73" s="252"/>
      <c r="BQ73" s="252"/>
      <c r="BR73" s="252"/>
      <c r="BS73" s="252"/>
      <c r="BT73" s="252"/>
      <c r="BU73" s="252"/>
      <c r="BV73" s="252"/>
      <c r="BW73" s="252"/>
      <c r="BX73" s="252"/>
      <c r="BY73" s="252"/>
      <c r="BZ73" s="252"/>
      <c r="CA73" s="252"/>
      <c r="CB73" s="252"/>
      <c r="CC73" s="252"/>
      <c r="CD73" s="252"/>
      <c r="CE73" s="252"/>
      <c r="CF73" s="252"/>
      <c r="CG73" s="252"/>
      <c r="CH73" s="252"/>
      <c r="CI73" s="247"/>
    </row>
    <row r="74" spans="1:114" s="232" customFormat="1" ht="15" customHeight="1" x14ac:dyDescent="0.35">
      <c r="A74" s="274"/>
      <c r="B74" s="263"/>
      <c r="C74" s="198" t="s">
        <v>303</v>
      </c>
      <c r="D74" s="228"/>
      <c r="E74" s="229"/>
      <c r="F74" s="230"/>
      <c r="G74" s="231"/>
      <c r="H74" s="246"/>
      <c r="I74" s="251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/>
      <c r="AA74" s="252"/>
      <c r="AB74" s="252"/>
      <c r="AC74" s="252"/>
      <c r="AD74" s="252"/>
      <c r="AE74" s="252"/>
      <c r="AF74" s="252"/>
      <c r="AG74" s="252"/>
      <c r="AH74" s="252"/>
      <c r="AI74" s="252"/>
      <c r="AJ74" s="252"/>
      <c r="AK74" s="252"/>
      <c r="AL74" s="252"/>
      <c r="AM74" s="252"/>
      <c r="AN74" s="252"/>
      <c r="AO74" s="252"/>
      <c r="AP74" s="252"/>
      <c r="AQ74" s="252"/>
      <c r="AR74" s="252"/>
      <c r="AS74" s="252"/>
      <c r="AT74" s="252"/>
      <c r="AU74" s="252"/>
      <c r="AV74" s="252"/>
      <c r="AW74" s="252"/>
      <c r="AX74" s="252"/>
      <c r="AY74" s="252"/>
      <c r="AZ74" s="252"/>
      <c r="BA74" s="252"/>
      <c r="BB74" s="252"/>
      <c r="BC74" s="252"/>
      <c r="BD74" s="252"/>
      <c r="BE74" s="252"/>
      <c r="BF74" s="252"/>
      <c r="BG74" s="252"/>
      <c r="BH74" s="252"/>
      <c r="BI74" s="252"/>
      <c r="BJ74" s="252"/>
      <c r="BK74" s="252"/>
      <c r="BL74" s="252"/>
      <c r="BM74" s="252"/>
      <c r="BN74" s="252"/>
      <c r="BO74" s="252"/>
      <c r="BP74" s="252"/>
      <c r="BQ74" s="252"/>
      <c r="BR74" s="252"/>
      <c r="BS74" s="252"/>
      <c r="BT74" s="252"/>
      <c r="BU74" s="252"/>
      <c r="BV74" s="252"/>
      <c r="BW74" s="252"/>
      <c r="BX74" s="252"/>
      <c r="BY74" s="252"/>
      <c r="BZ74" s="252"/>
      <c r="CA74" s="252"/>
      <c r="CB74" s="252"/>
      <c r="CC74" s="252"/>
      <c r="CD74" s="252"/>
      <c r="CE74" s="252"/>
      <c r="CF74" s="252"/>
      <c r="CG74" s="252"/>
      <c r="CH74" s="252"/>
      <c r="CI74" s="247"/>
    </row>
    <row r="75" spans="1:114" s="232" customFormat="1" ht="15" customHeight="1" x14ac:dyDescent="0.35">
      <c r="A75" s="274"/>
      <c r="B75" s="263"/>
      <c r="C75" s="198" t="s">
        <v>299</v>
      </c>
      <c r="D75" s="228"/>
      <c r="E75" s="229"/>
      <c r="F75" s="230"/>
      <c r="G75" s="231"/>
      <c r="H75" s="246"/>
      <c r="I75" s="251"/>
      <c r="J75" s="252"/>
      <c r="K75" s="252"/>
      <c r="L75" s="252"/>
      <c r="M75" s="252"/>
      <c r="N75" s="252"/>
      <c r="O75" s="252"/>
      <c r="P75" s="252"/>
      <c r="Q75" s="252"/>
      <c r="R75" s="252"/>
      <c r="S75" s="252"/>
      <c r="T75" s="252"/>
      <c r="U75" s="252"/>
      <c r="V75" s="252"/>
      <c r="W75" s="252"/>
      <c r="X75" s="252"/>
      <c r="Y75" s="252"/>
      <c r="Z75" s="252"/>
      <c r="AA75" s="252"/>
      <c r="AB75" s="252"/>
      <c r="AC75" s="252"/>
      <c r="AD75" s="252"/>
      <c r="AE75" s="252"/>
      <c r="AF75" s="252"/>
      <c r="AG75" s="252"/>
      <c r="AH75" s="252"/>
      <c r="AI75" s="252"/>
      <c r="AJ75" s="252"/>
      <c r="AK75" s="252"/>
      <c r="AL75" s="252"/>
      <c r="AM75" s="252"/>
      <c r="AN75" s="252"/>
      <c r="AO75" s="252"/>
      <c r="AP75" s="252"/>
      <c r="AQ75" s="252"/>
      <c r="AR75" s="252"/>
      <c r="AS75" s="252"/>
      <c r="AT75" s="252"/>
      <c r="AU75" s="252"/>
      <c r="AV75" s="252"/>
      <c r="AW75" s="252"/>
      <c r="AX75" s="252"/>
      <c r="AY75" s="252"/>
      <c r="AZ75" s="252"/>
      <c r="BA75" s="252"/>
      <c r="BB75" s="252"/>
      <c r="BC75" s="252"/>
      <c r="BD75" s="252"/>
      <c r="BE75" s="252"/>
      <c r="BF75" s="252"/>
      <c r="BG75" s="252"/>
      <c r="BH75" s="252"/>
      <c r="BI75" s="252"/>
      <c r="BJ75" s="252"/>
      <c r="BK75" s="252"/>
      <c r="BL75" s="252"/>
      <c r="BM75" s="252"/>
      <c r="BN75" s="252"/>
      <c r="BO75" s="252"/>
      <c r="BP75" s="252"/>
      <c r="BQ75" s="252"/>
      <c r="BR75" s="252"/>
      <c r="BS75" s="252"/>
      <c r="BT75" s="252"/>
      <c r="BU75" s="252"/>
      <c r="BV75" s="252"/>
      <c r="BW75" s="252"/>
      <c r="BX75" s="252"/>
      <c r="BY75" s="252"/>
      <c r="BZ75" s="252"/>
      <c r="CA75" s="252"/>
      <c r="CB75" s="252"/>
      <c r="CC75" s="252"/>
      <c r="CD75" s="252"/>
      <c r="CE75" s="252"/>
      <c r="CF75" s="252"/>
      <c r="CG75" s="252"/>
      <c r="CH75" s="252"/>
      <c r="CI75" s="247"/>
    </row>
    <row r="76" spans="1:114" s="232" customFormat="1" ht="15" customHeight="1" x14ac:dyDescent="0.35">
      <c r="A76" s="274"/>
      <c r="B76" s="263"/>
      <c r="C76" s="198" t="s">
        <v>296</v>
      </c>
      <c r="D76" s="228"/>
      <c r="E76" s="229"/>
      <c r="F76" s="230"/>
      <c r="G76" s="231"/>
      <c r="H76" s="246"/>
      <c r="I76" s="251"/>
      <c r="J76" s="252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/>
      <c r="AA76" s="252"/>
      <c r="AB76" s="252"/>
      <c r="AC76" s="252"/>
      <c r="AD76" s="252"/>
      <c r="AE76" s="252"/>
      <c r="AF76" s="252"/>
      <c r="AG76" s="252"/>
      <c r="AH76" s="252"/>
      <c r="AI76" s="252"/>
      <c r="AJ76" s="252"/>
      <c r="AK76" s="252"/>
      <c r="AL76" s="252"/>
      <c r="AM76" s="252"/>
      <c r="AN76" s="252"/>
      <c r="AO76" s="252"/>
      <c r="AP76" s="252"/>
      <c r="AQ76" s="252"/>
      <c r="AR76" s="252"/>
      <c r="AS76" s="252"/>
      <c r="AT76" s="252"/>
      <c r="AU76" s="252"/>
      <c r="AV76" s="252"/>
      <c r="AW76" s="252"/>
      <c r="AX76" s="252"/>
      <c r="AY76" s="252"/>
      <c r="AZ76" s="252"/>
      <c r="BA76" s="252"/>
      <c r="BB76" s="252"/>
      <c r="BC76" s="252"/>
      <c r="BD76" s="252"/>
      <c r="BE76" s="252"/>
      <c r="BF76" s="252"/>
      <c r="BG76" s="252"/>
      <c r="BH76" s="252"/>
      <c r="BI76" s="252"/>
      <c r="BJ76" s="252"/>
      <c r="BK76" s="252"/>
      <c r="BL76" s="252"/>
      <c r="BM76" s="252"/>
      <c r="BN76" s="252"/>
      <c r="BO76" s="252"/>
      <c r="BP76" s="252"/>
      <c r="BQ76" s="252"/>
      <c r="BR76" s="252"/>
      <c r="BS76" s="252"/>
      <c r="BT76" s="252"/>
      <c r="BU76" s="252"/>
      <c r="BV76" s="252"/>
      <c r="BW76" s="252"/>
      <c r="BX76" s="252"/>
      <c r="BY76" s="252"/>
      <c r="BZ76" s="252"/>
      <c r="CA76" s="252"/>
      <c r="CB76" s="252"/>
      <c r="CC76" s="252"/>
      <c r="CD76" s="252"/>
      <c r="CE76" s="252"/>
      <c r="CF76" s="252"/>
      <c r="CG76" s="252"/>
      <c r="CH76" s="252"/>
      <c r="CI76" s="247"/>
    </row>
    <row r="77" spans="1:114" s="103" customFormat="1" ht="15" customHeight="1" x14ac:dyDescent="0.35">
      <c r="A77" s="274"/>
      <c r="B77" s="258"/>
      <c r="C77" s="243" t="s">
        <v>297</v>
      </c>
      <c r="D77" s="118"/>
      <c r="E77" s="243" t="s">
        <v>304</v>
      </c>
      <c r="F77" s="244"/>
      <c r="G77" s="245"/>
      <c r="H77" s="129" t="s">
        <v>175</v>
      </c>
      <c r="I77" s="251"/>
      <c r="J77" s="252"/>
      <c r="K77" s="252"/>
      <c r="L77" s="252"/>
      <c r="M77" s="252"/>
      <c r="N77" s="252"/>
      <c r="O77" s="252"/>
      <c r="P77" s="252"/>
      <c r="Q77" s="252"/>
      <c r="R77" s="252"/>
      <c r="S77" s="252"/>
      <c r="T77" s="252"/>
      <c r="U77" s="252"/>
      <c r="V77" s="252"/>
      <c r="W77" s="252"/>
      <c r="X77" s="252"/>
      <c r="Y77" s="252"/>
      <c r="Z77" s="252"/>
      <c r="AA77" s="252"/>
      <c r="AB77" s="252"/>
      <c r="AC77" s="252"/>
      <c r="AD77" s="252"/>
      <c r="AE77" s="252"/>
      <c r="AF77" s="252"/>
      <c r="AG77" s="252"/>
      <c r="AH77" s="252"/>
      <c r="AI77" s="252"/>
      <c r="AJ77" s="252"/>
      <c r="AK77" s="252"/>
      <c r="AL77" s="252"/>
      <c r="AM77" s="252"/>
      <c r="AN77" s="252"/>
      <c r="AO77" s="252"/>
      <c r="AP77" s="252"/>
      <c r="AQ77" s="252"/>
      <c r="AR77" s="252"/>
      <c r="AS77" s="252"/>
      <c r="AT77" s="252"/>
      <c r="AU77" s="252"/>
      <c r="AV77" s="252"/>
      <c r="AW77" s="252"/>
      <c r="AX77" s="252"/>
      <c r="AY77" s="252"/>
      <c r="AZ77" s="252"/>
      <c r="BA77" s="252"/>
      <c r="BB77" s="252"/>
      <c r="BC77" s="252"/>
      <c r="BD77" s="252"/>
      <c r="BE77" s="252"/>
      <c r="BF77" s="252"/>
      <c r="BG77" s="252"/>
      <c r="BH77" s="252"/>
      <c r="BI77" s="252"/>
      <c r="BJ77" s="252"/>
      <c r="BK77" s="252"/>
      <c r="BL77" s="252"/>
      <c r="BM77" s="252"/>
      <c r="BN77" s="252"/>
      <c r="BO77" s="252"/>
      <c r="BP77" s="252"/>
      <c r="BQ77" s="252"/>
      <c r="BR77" s="252"/>
      <c r="BS77" s="252"/>
      <c r="BT77" s="252"/>
      <c r="BU77" s="252"/>
      <c r="BV77" s="252"/>
      <c r="BW77" s="252"/>
      <c r="BX77" s="252"/>
      <c r="BY77" s="252"/>
      <c r="BZ77" s="252"/>
      <c r="CA77" s="252"/>
      <c r="CB77" s="252"/>
      <c r="CC77" s="252"/>
      <c r="CD77" s="252"/>
      <c r="CE77" s="252"/>
      <c r="CF77" s="252"/>
      <c r="CG77" s="252"/>
      <c r="CH77" s="252"/>
      <c r="CI77" s="131"/>
    </row>
    <row r="78" spans="1:114" s="232" customFormat="1" ht="15" customHeight="1" x14ac:dyDescent="0.35">
      <c r="A78" s="274"/>
      <c r="B78" s="263"/>
      <c r="C78" s="198" t="s">
        <v>298</v>
      </c>
      <c r="D78" s="228"/>
      <c r="E78" s="229"/>
      <c r="F78" s="230"/>
      <c r="G78" s="231"/>
      <c r="H78" s="246"/>
      <c r="I78" s="251"/>
      <c r="J78" s="252"/>
      <c r="K78" s="252"/>
      <c r="L78" s="252"/>
      <c r="M78" s="252"/>
      <c r="N78" s="252"/>
      <c r="O78" s="252"/>
      <c r="P78" s="252"/>
      <c r="Q78" s="252"/>
      <c r="R78" s="252"/>
      <c r="S78" s="252"/>
      <c r="T78" s="252"/>
      <c r="U78" s="252"/>
      <c r="V78" s="252"/>
      <c r="W78" s="252"/>
      <c r="X78" s="252"/>
      <c r="Y78" s="252"/>
      <c r="Z78" s="252"/>
      <c r="AA78" s="252"/>
      <c r="AB78" s="252"/>
      <c r="AC78" s="252"/>
      <c r="AD78" s="252"/>
      <c r="AE78" s="252"/>
      <c r="AF78" s="252"/>
      <c r="AG78" s="252"/>
      <c r="AH78" s="252"/>
      <c r="AI78" s="252"/>
      <c r="AJ78" s="252"/>
      <c r="AK78" s="252"/>
      <c r="AL78" s="252"/>
      <c r="AM78" s="252"/>
      <c r="AN78" s="252"/>
      <c r="AO78" s="252"/>
      <c r="AP78" s="252"/>
      <c r="AQ78" s="252"/>
      <c r="AR78" s="252"/>
      <c r="AS78" s="252"/>
      <c r="AT78" s="252"/>
      <c r="AU78" s="252"/>
      <c r="AV78" s="252"/>
      <c r="AW78" s="252"/>
      <c r="AX78" s="252"/>
      <c r="AY78" s="252"/>
      <c r="AZ78" s="252"/>
      <c r="BA78" s="252"/>
      <c r="BB78" s="252"/>
      <c r="BC78" s="252"/>
      <c r="BD78" s="252"/>
      <c r="BE78" s="252"/>
      <c r="BF78" s="252"/>
      <c r="BG78" s="252"/>
      <c r="BH78" s="252"/>
      <c r="BI78" s="252"/>
      <c r="BJ78" s="252"/>
      <c r="BK78" s="252"/>
      <c r="BL78" s="252"/>
      <c r="BM78" s="252"/>
      <c r="BN78" s="252"/>
      <c r="BO78" s="252"/>
      <c r="BP78" s="252"/>
      <c r="BQ78" s="252"/>
      <c r="BR78" s="252"/>
      <c r="BS78" s="252"/>
      <c r="BT78" s="252"/>
      <c r="BU78" s="252"/>
      <c r="BV78" s="252"/>
      <c r="BW78" s="252"/>
      <c r="BX78" s="252"/>
      <c r="BY78" s="252"/>
      <c r="BZ78" s="252"/>
      <c r="CA78" s="252"/>
      <c r="CB78" s="252"/>
      <c r="CC78" s="252"/>
      <c r="CD78" s="252"/>
      <c r="CE78" s="252"/>
      <c r="CF78" s="252"/>
      <c r="CG78" s="252"/>
      <c r="CH78" s="252"/>
      <c r="CI78" s="247"/>
    </row>
    <row r="79" spans="1:114" s="232" customFormat="1" ht="15" customHeight="1" x14ac:dyDescent="0.35">
      <c r="A79" s="274"/>
      <c r="B79" s="263"/>
      <c r="C79" s="198" t="s">
        <v>300</v>
      </c>
      <c r="D79" s="228"/>
      <c r="E79" s="229"/>
      <c r="F79" s="230"/>
      <c r="G79" s="231"/>
      <c r="H79" s="246"/>
      <c r="I79" s="251"/>
      <c r="J79" s="252"/>
      <c r="K79" s="252"/>
      <c r="L79" s="252"/>
      <c r="M79" s="252"/>
      <c r="N79" s="252"/>
      <c r="O79" s="252"/>
      <c r="P79" s="252"/>
      <c r="Q79" s="252"/>
      <c r="R79" s="252"/>
      <c r="S79" s="252"/>
      <c r="T79" s="252"/>
      <c r="U79" s="252"/>
      <c r="V79" s="252"/>
      <c r="W79" s="252"/>
      <c r="X79" s="252"/>
      <c r="Y79" s="252"/>
      <c r="Z79" s="252"/>
      <c r="AA79" s="252"/>
      <c r="AB79" s="252"/>
      <c r="AC79" s="252"/>
      <c r="AD79" s="252"/>
      <c r="AE79" s="252"/>
      <c r="AF79" s="252"/>
      <c r="AG79" s="252"/>
      <c r="AH79" s="252"/>
      <c r="AI79" s="252"/>
      <c r="AJ79" s="252"/>
      <c r="AK79" s="252"/>
      <c r="AL79" s="252"/>
      <c r="AM79" s="252"/>
      <c r="AN79" s="252"/>
      <c r="AO79" s="252"/>
      <c r="AP79" s="252"/>
      <c r="AQ79" s="252"/>
      <c r="AR79" s="252"/>
      <c r="AS79" s="252"/>
      <c r="AT79" s="252"/>
      <c r="AU79" s="252"/>
      <c r="AV79" s="252"/>
      <c r="AW79" s="252"/>
      <c r="AX79" s="252"/>
      <c r="AY79" s="252"/>
      <c r="AZ79" s="252"/>
      <c r="BA79" s="252"/>
      <c r="BB79" s="252"/>
      <c r="BC79" s="252"/>
      <c r="BD79" s="252"/>
      <c r="BE79" s="252"/>
      <c r="BF79" s="252"/>
      <c r="BG79" s="252"/>
      <c r="BH79" s="252"/>
      <c r="BI79" s="252"/>
      <c r="BJ79" s="252"/>
      <c r="BK79" s="252"/>
      <c r="BL79" s="252"/>
      <c r="BM79" s="252"/>
      <c r="BN79" s="252"/>
      <c r="BO79" s="252"/>
      <c r="BP79" s="252"/>
      <c r="BQ79" s="252"/>
      <c r="BR79" s="252"/>
      <c r="BS79" s="252"/>
      <c r="BT79" s="252"/>
      <c r="BU79" s="252"/>
      <c r="BV79" s="252"/>
      <c r="BW79" s="252"/>
      <c r="BX79" s="252"/>
      <c r="BY79" s="252"/>
      <c r="BZ79" s="252"/>
      <c r="CA79" s="252"/>
      <c r="CB79" s="252"/>
      <c r="CC79" s="252"/>
      <c r="CD79" s="252"/>
      <c r="CE79" s="252"/>
      <c r="CF79" s="252"/>
      <c r="CG79" s="252"/>
      <c r="CH79" s="252"/>
      <c r="CI79" s="247"/>
    </row>
    <row r="80" spans="1:114" s="232" customFormat="1" ht="15" customHeight="1" x14ac:dyDescent="0.35">
      <c r="A80" s="274"/>
      <c r="B80" s="263"/>
      <c r="C80" s="198" t="s">
        <v>301</v>
      </c>
      <c r="D80" s="228"/>
      <c r="E80" s="229"/>
      <c r="F80" s="230"/>
      <c r="G80" s="231"/>
      <c r="H80" s="246"/>
      <c r="I80" s="251"/>
      <c r="J80" s="252"/>
      <c r="K80" s="252"/>
      <c r="L80" s="252"/>
      <c r="M80" s="252"/>
      <c r="N80" s="252"/>
      <c r="O80" s="252"/>
      <c r="P80" s="252"/>
      <c r="Q80" s="252"/>
      <c r="R80" s="252"/>
      <c r="S80" s="252"/>
      <c r="T80" s="252"/>
      <c r="U80" s="252"/>
      <c r="V80" s="252"/>
      <c r="W80" s="252"/>
      <c r="X80" s="252"/>
      <c r="Y80" s="252"/>
      <c r="Z80" s="252"/>
      <c r="AA80" s="252"/>
      <c r="AB80" s="252"/>
      <c r="AC80" s="252"/>
      <c r="AD80" s="252"/>
      <c r="AE80" s="252"/>
      <c r="AF80" s="252"/>
      <c r="AG80" s="252"/>
      <c r="AH80" s="252"/>
      <c r="AI80" s="252"/>
      <c r="AJ80" s="252"/>
      <c r="AK80" s="252"/>
      <c r="AL80" s="252"/>
      <c r="AM80" s="252"/>
      <c r="AN80" s="252"/>
      <c r="AO80" s="252"/>
      <c r="AP80" s="252"/>
      <c r="AQ80" s="252"/>
      <c r="AR80" s="252"/>
      <c r="AS80" s="252"/>
      <c r="AT80" s="252"/>
      <c r="AU80" s="252"/>
      <c r="AV80" s="252"/>
      <c r="AW80" s="252"/>
      <c r="AX80" s="252"/>
      <c r="AY80" s="252"/>
      <c r="AZ80" s="252"/>
      <c r="BA80" s="252"/>
      <c r="BB80" s="252"/>
      <c r="BC80" s="252"/>
      <c r="BD80" s="252"/>
      <c r="BE80" s="252"/>
      <c r="BF80" s="252"/>
      <c r="BG80" s="252"/>
      <c r="BH80" s="252"/>
      <c r="BI80" s="252"/>
      <c r="BJ80" s="252"/>
      <c r="BK80" s="252"/>
      <c r="BL80" s="252"/>
      <c r="BM80" s="252"/>
      <c r="BN80" s="252"/>
      <c r="BO80" s="252"/>
      <c r="BP80" s="252"/>
      <c r="BQ80" s="252"/>
      <c r="BR80" s="252"/>
      <c r="BS80" s="252"/>
      <c r="BT80" s="252"/>
      <c r="BU80" s="252"/>
      <c r="BV80" s="252"/>
      <c r="BW80" s="252"/>
      <c r="BX80" s="252"/>
      <c r="BY80" s="252"/>
      <c r="BZ80" s="252"/>
      <c r="CA80" s="252"/>
      <c r="CB80" s="252"/>
      <c r="CC80" s="252"/>
      <c r="CD80" s="252"/>
      <c r="CE80" s="252"/>
      <c r="CF80" s="252"/>
      <c r="CG80" s="252"/>
      <c r="CH80" s="252"/>
      <c r="CI80" s="247"/>
    </row>
    <row r="81" spans="1:114" s="232" customFormat="1" ht="19" customHeight="1" x14ac:dyDescent="0.35">
      <c r="A81" s="274"/>
      <c r="B81" s="263"/>
      <c r="C81" s="198" t="s">
        <v>293</v>
      </c>
      <c r="D81" s="228"/>
      <c r="E81" s="229"/>
      <c r="F81" s="230"/>
      <c r="G81" s="231"/>
      <c r="H81" s="246"/>
      <c r="I81" s="251"/>
      <c r="J81" s="252"/>
      <c r="K81" s="252"/>
      <c r="L81" s="252"/>
      <c r="M81" s="252"/>
      <c r="N81" s="252"/>
      <c r="O81" s="252"/>
      <c r="P81" s="252"/>
      <c r="Q81" s="252"/>
      <c r="R81" s="252"/>
      <c r="S81" s="252"/>
      <c r="T81" s="252"/>
      <c r="U81" s="252"/>
      <c r="V81" s="252"/>
      <c r="W81" s="252"/>
      <c r="X81" s="252"/>
      <c r="Y81" s="252"/>
      <c r="Z81" s="252"/>
      <c r="AA81" s="252"/>
      <c r="AB81" s="252"/>
      <c r="AC81" s="252"/>
      <c r="AD81" s="252"/>
      <c r="AE81" s="252"/>
      <c r="AF81" s="252"/>
      <c r="AG81" s="252"/>
      <c r="AH81" s="252"/>
      <c r="AI81" s="252"/>
      <c r="AJ81" s="252"/>
      <c r="AK81" s="252"/>
      <c r="AL81" s="252"/>
      <c r="AM81" s="252"/>
      <c r="AN81" s="252"/>
      <c r="AO81" s="252"/>
      <c r="AP81" s="252"/>
      <c r="AQ81" s="252"/>
      <c r="AR81" s="252"/>
      <c r="AS81" s="252"/>
      <c r="AT81" s="252"/>
      <c r="AU81" s="252"/>
      <c r="AV81" s="252"/>
      <c r="AW81" s="252"/>
      <c r="AX81" s="252"/>
      <c r="AY81" s="252"/>
      <c r="AZ81" s="252"/>
      <c r="BA81" s="252"/>
      <c r="BB81" s="252"/>
      <c r="BC81" s="252"/>
      <c r="BD81" s="252"/>
      <c r="BE81" s="252"/>
      <c r="BF81" s="252"/>
      <c r="BG81" s="252"/>
      <c r="BH81" s="252"/>
      <c r="BI81" s="252"/>
      <c r="BJ81" s="252"/>
      <c r="BK81" s="252"/>
      <c r="BL81" s="252"/>
      <c r="BM81" s="252"/>
      <c r="BN81" s="252"/>
      <c r="BO81" s="252"/>
      <c r="BP81" s="252"/>
      <c r="BQ81" s="252"/>
      <c r="BR81" s="252"/>
      <c r="BS81" s="252"/>
      <c r="BT81" s="252"/>
      <c r="BU81" s="252"/>
      <c r="BV81" s="252"/>
      <c r="BW81" s="252"/>
      <c r="BX81" s="252"/>
      <c r="BY81" s="252"/>
      <c r="BZ81" s="252"/>
      <c r="CA81" s="252"/>
      <c r="CB81" s="252"/>
      <c r="CC81" s="252"/>
      <c r="CD81" s="252"/>
      <c r="CE81" s="252"/>
      <c r="CF81" s="252"/>
      <c r="CG81" s="252"/>
      <c r="CH81" s="252"/>
      <c r="CI81" s="247"/>
    </row>
    <row r="82" spans="1:114" s="232" customFormat="1" ht="14" customHeight="1" x14ac:dyDescent="0.35">
      <c r="A82" s="275"/>
      <c r="B82" s="263"/>
      <c r="C82" s="198" t="s">
        <v>294</v>
      </c>
      <c r="D82" s="228"/>
      <c r="E82" s="229"/>
      <c r="F82" s="230"/>
      <c r="G82" s="231"/>
      <c r="H82" s="246"/>
      <c r="I82" s="251"/>
      <c r="J82" s="252"/>
      <c r="K82" s="252"/>
      <c r="L82" s="252"/>
      <c r="M82" s="252"/>
      <c r="N82" s="252"/>
      <c r="O82" s="252"/>
      <c r="P82" s="252"/>
      <c r="Q82" s="252"/>
      <c r="R82" s="252"/>
      <c r="S82" s="252"/>
      <c r="T82" s="252"/>
      <c r="U82" s="252"/>
      <c r="V82" s="252"/>
      <c r="W82" s="252"/>
      <c r="X82" s="252"/>
      <c r="Y82" s="252"/>
      <c r="Z82" s="252"/>
      <c r="AA82" s="252"/>
      <c r="AB82" s="252"/>
      <c r="AC82" s="252"/>
      <c r="AD82" s="252"/>
      <c r="AE82" s="252"/>
      <c r="AF82" s="252"/>
      <c r="AG82" s="252"/>
      <c r="AH82" s="252"/>
      <c r="AI82" s="252"/>
      <c r="AJ82" s="252"/>
      <c r="AK82" s="252"/>
      <c r="AL82" s="252"/>
      <c r="AM82" s="252"/>
      <c r="AN82" s="252"/>
      <c r="AO82" s="252"/>
      <c r="AP82" s="252"/>
      <c r="AQ82" s="252"/>
      <c r="AR82" s="252"/>
      <c r="AS82" s="252"/>
      <c r="AT82" s="252"/>
      <c r="AU82" s="252"/>
      <c r="AV82" s="252"/>
      <c r="AW82" s="252"/>
      <c r="AX82" s="252"/>
      <c r="AY82" s="252"/>
      <c r="AZ82" s="252"/>
      <c r="BA82" s="252"/>
      <c r="BB82" s="252"/>
      <c r="BC82" s="252"/>
      <c r="BD82" s="252"/>
      <c r="BE82" s="252"/>
      <c r="BF82" s="252"/>
      <c r="BG82" s="252"/>
      <c r="BH82" s="252"/>
      <c r="BI82" s="252"/>
      <c r="BJ82" s="252"/>
      <c r="BK82" s="252"/>
      <c r="BL82" s="252"/>
      <c r="BM82" s="252"/>
      <c r="BN82" s="252"/>
      <c r="BO82" s="252"/>
      <c r="BP82" s="252"/>
      <c r="BQ82" s="252"/>
      <c r="BR82" s="252"/>
      <c r="BS82" s="252"/>
      <c r="BT82" s="252"/>
      <c r="BU82" s="252"/>
      <c r="BV82" s="252"/>
      <c r="BW82" s="252"/>
      <c r="BX82" s="252"/>
      <c r="BY82" s="252"/>
      <c r="BZ82" s="252"/>
      <c r="CA82" s="252"/>
      <c r="CB82" s="252"/>
      <c r="CC82" s="252"/>
      <c r="CD82" s="252"/>
      <c r="CE82" s="252"/>
      <c r="CF82" s="252"/>
      <c r="CG82" s="252"/>
      <c r="CH82" s="252"/>
      <c r="CI82" s="247"/>
    </row>
    <row r="83" spans="1:114" s="122" customFormat="1" ht="26.5" customHeight="1" x14ac:dyDescent="0.35">
      <c r="A83" s="270" t="s">
        <v>205</v>
      </c>
      <c r="B83" s="264">
        <v>1</v>
      </c>
      <c r="C83" s="223" t="s">
        <v>205</v>
      </c>
      <c r="D83" s="223"/>
      <c r="E83" s="224"/>
      <c r="F83" s="225"/>
      <c r="G83" s="226">
        <v>46233</v>
      </c>
      <c r="H83" s="227"/>
      <c r="I83" s="251"/>
      <c r="J83" s="252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  <c r="AA83" s="252"/>
      <c r="AB83" s="252"/>
      <c r="AC83" s="252"/>
      <c r="AD83" s="252"/>
      <c r="AE83" s="252"/>
      <c r="AF83" s="252"/>
      <c r="AG83" s="252"/>
      <c r="AH83" s="252"/>
      <c r="AI83" s="252"/>
      <c r="AJ83" s="252"/>
      <c r="AK83" s="252"/>
      <c r="AL83" s="252"/>
      <c r="AM83" s="252"/>
      <c r="AN83" s="252"/>
      <c r="AO83" s="252"/>
      <c r="AP83" s="252"/>
      <c r="AQ83" s="252"/>
      <c r="AR83" s="252"/>
      <c r="AS83" s="252"/>
      <c r="AT83" s="252"/>
      <c r="AU83" s="252"/>
      <c r="AV83" s="252"/>
      <c r="AW83" s="252"/>
      <c r="AX83" s="252"/>
      <c r="AY83" s="252"/>
      <c r="AZ83" s="252"/>
      <c r="BA83" s="252"/>
      <c r="BB83" s="252"/>
      <c r="BC83" s="252"/>
      <c r="BD83" s="252"/>
      <c r="BE83" s="252"/>
      <c r="BF83" s="252"/>
      <c r="BG83" s="252"/>
      <c r="BH83" s="252"/>
      <c r="BI83" s="252"/>
      <c r="BJ83" s="252"/>
      <c r="BK83" s="252"/>
      <c r="BL83" s="252"/>
      <c r="BM83" s="252"/>
      <c r="BN83" s="252"/>
      <c r="BO83" s="252"/>
      <c r="BP83" s="252"/>
      <c r="BQ83" s="252"/>
      <c r="BR83" s="252"/>
      <c r="BS83" s="252"/>
      <c r="BT83" s="252"/>
      <c r="BU83" s="252"/>
      <c r="BV83" s="252"/>
      <c r="BW83" s="252"/>
      <c r="BX83" s="252"/>
      <c r="BY83" s="252"/>
      <c r="BZ83" s="252"/>
      <c r="CA83" s="252"/>
      <c r="CB83" s="252"/>
      <c r="CC83" s="252"/>
      <c r="CD83" s="252"/>
      <c r="CE83" s="252"/>
      <c r="CF83" s="252"/>
      <c r="CG83" s="252"/>
      <c r="CH83" s="252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</row>
    <row r="84" spans="1:114" s="117" customFormat="1" ht="14.5" customHeight="1" x14ac:dyDescent="0.35">
      <c r="A84" s="271"/>
      <c r="C84" s="117" t="s">
        <v>230</v>
      </c>
      <c r="E84" s="117" t="s">
        <v>237</v>
      </c>
      <c r="G84" s="171"/>
      <c r="H84" s="149" t="s">
        <v>206</v>
      </c>
      <c r="I84" s="253"/>
      <c r="J84" s="253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  <c r="AA84" s="253"/>
      <c r="AB84" s="253"/>
      <c r="AC84" s="253"/>
      <c r="AD84" s="253"/>
      <c r="AE84" s="253"/>
      <c r="AF84" s="253"/>
      <c r="AG84" s="253"/>
      <c r="AH84" s="253"/>
      <c r="AI84" s="253"/>
      <c r="AJ84" s="253"/>
      <c r="AK84" s="253"/>
      <c r="AL84" s="253"/>
      <c r="AM84" s="253"/>
      <c r="AN84" s="253"/>
      <c r="AO84" s="253"/>
      <c r="AP84" s="253"/>
      <c r="AQ84" s="253"/>
      <c r="AR84" s="253"/>
      <c r="AS84" s="253"/>
      <c r="AT84" s="253"/>
      <c r="AU84" s="253"/>
      <c r="AV84" s="253"/>
      <c r="AW84" s="253"/>
      <c r="AX84" s="253"/>
      <c r="AY84" s="253"/>
      <c r="AZ84" s="253"/>
      <c r="BA84" s="253"/>
      <c r="BB84" s="253"/>
      <c r="BC84" s="253"/>
      <c r="BD84" s="253"/>
      <c r="BE84" s="253"/>
      <c r="BF84" s="253"/>
      <c r="BG84" s="253"/>
      <c r="BH84" s="253"/>
      <c r="BI84" s="253"/>
      <c r="BJ84" s="253"/>
      <c r="BK84" s="253"/>
      <c r="BL84" s="253"/>
      <c r="BM84" s="253"/>
      <c r="BN84" s="253"/>
      <c r="BO84" s="253"/>
      <c r="BP84" s="253"/>
      <c r="BQ84" s="253"/>
      <c r="BR84" s="253"/>
      <c r="BS84" s="253"/>
      <c r="BT84" s="253"/>
      <c r="BU84" s="253"/>
      <c r="BV84" s="253"/>
      <c r="BW84" s="253"/>
      <c r="BX84" s="253"/>
      <c r="BY84" s="253"/>
      <c r="BZ84" s="253"/>
      <c r="CA84" s="253"/>
      <c r="CB84" s="253"/>
      <c r="CC84" s="253"/>
      <c r="CD84" s="253"/>
      <c r="CE84" s="253"/>
      <c r="CF84" s="253"/>
      <c r="CG84" s="253"/>
      <c r="CH84" s="253"/>
      <c r="CI84" s="248"/>
    </row>
    <row r="85" spans="1:114" s="105" customFormat="1" ht="14.5" customHeight="1" x14ac:dyDescent="0.35">
      <c r="A85" s="271"/>
      <c r="B85" s="265"/>
      <c r="C85" s="146" t="s">
        <v>79</v>
      </c>
      <c r="D85" s="147"/>
      <c r="E85" s="146" t="s">
        <v>214</v>
      </c>
      <c r="F85" s="117"/>
      <c r="G85" s="148"/>
      <c r="H85" s="149" t="s">
        <v>206</v>
      </c>
      <c r="I85" s="251"/>
      <c r="J85" s="252"/>
      <c r="K85" s="252"/>
      <c r="L85" s="252"/>
      <c r="M85" s="252"/>
      <c r="N85" s="252"/>
      <c r="O85" s="252"/>
      <c r="P85" s="252"/>
      <c r="Q85" s="252"/>
      <c r="R85" s="252"/>
      <c r="S85" s="252"/>
      <c r="T85" s="252"/>
      <c r="U85" s="252"/>
      <c r="V85" s="252"/>
      <c r="W85" s="252"/>
      <c r="X85" s="252"/>
      <c r="Y85" s="252"/>
      <c r="Z85" s="252"/>
      <c r="AA85" s="252"/>
      <c r="AB85" s="252"/>
      <c r="AC85" s="252"/>
      <c r="AD85" s="252"/>
      <c r="AE85" s="252"/>
      <c r="AF85" s="252"/>
      <c r="AG85" s="252"/>
      <c r="AH85" s="252"/>
      <c r="AI85" s="252"/>
      <c r="AJ85" s="252"/>
      <c r="AK85" s="252"/>
      <c r="AL85" s="252"/>
      <c r="AM85" s="252"/>
      <c r="AN85" s="252"/>
      <c r="AO85" s="252"/>
      <c r="AP85" s="252"/>
      <c r="AQ85" s="252"/>
      <c r="AR85" s="252"/>
      <c r="AS85" s="252"/>
      <c r="AT85" s="252"/>
      <c r="AU85" s="252"/>
      <c r="AV85" s="252"/>
      <c r="AW85" s="252"/>
      <c r="AX85" s="252"/>
      <c r="AY85" s="252"/>
      <c r="AZ85" s="252"/>
      <c r="BA85" s="252"/>
      <c r="BB85" s="252"/>
      <c r="BC85" s="252"/>
      <c r="BD85" s="252"/>
      <c r="BE85" s="252"/>
      <c r="BF85" s="252"/>
      <c r="BG85" s="252"/>
      <c r="BH85" s="252"/>
      <c r="BI85" s="252"/>
      <c r="BJ85" s="252"/>
      <c r="BK85" s="252"/>
      <c r="BL85" s="252"/>
      <c r="BM85" s="252"/>
      <c r="BN85" s="252"/>
      <c r="BO85" s="252"/>
      <c r="BP85" s="252"/>
      <c r="BQ85" s="252"/>
      <c r="BR85" s="252"/>
      <c r="BS85" s="252"/>
      <c r="BT85" s="252"/>
      <c r="BU85" s="252"/>
      <c r="BV85" s="252"/>
      <c r="BW85" s="252"/>
      <c r="BX85" s="252"/>
      <c r="BY85" s="252"/>
      <c r="BZ85" s="252"/>
      <c r="CA85" s="252"/>
      <c r="CB85" s="252"/>
      <c r="CC85" s="252"/>
      <c r="CD85" s="252"/>
      <c r="CE85" s="252"/>
      <c r="CF85" s="252"/>
      <c r="CG85" s="252"/>
      <c r="CH85" s="252"/>
    </row>
    <row r="86" spans="1:114" ht="15.5" customHeight="1" x14ac:dyDescent="0.35">
      <c r="A86" s="271"/>
      <c r="B86" s="255"/>
      <c r="C86" s="111" t="s">
        <v>80</v>
      </c>
      <c r="D86" s="154" t="s">
        <v>233</v>
      </c>
      <c r="E86" s="111"/>
      <c r="F86" s="17"/>
      <c r="G86" s="12"/>
      <c r="H86" s="128"/>
    </row>
    <row r="87" spans="1:114" ht="16" customHeight="1" x14ac:dyDescent="0.35">
      <c r="A87" s="272"/>
      <c r="B87" s="255"/>
      <c r="C87" s="111" t="s">
        <v>263</v>
      </c>
      <c r="D87" s="21"/>
      <c r="E87" s="111"/>
      <c r="F87" s="17"/>
      <c r="G87" s="166"/>
      <c r="H87" s="128"/>
    </row>
    <row r="88" spans="1:114" s="122" customFormat="1" ht="19" customHeight="1" x14ac:dyDescent="0.35">
      <c r="A88" s="270" t="s">
        <v>81</v>
      </c>
      <c r="B88" s="156">
        <v>1</v>
      </c>
      <c r="C88" s="119" t="s">
        <v>81</v>
      </c>
      <c r="D88" s="119"/>
      <c r="E88" s="141"/>
      <c r="F88" s="120"/>
      <c r="G88" s="173">
        <v>46233</v>
      </c>
      <c r="H88" s="127"/>
      <c r="I88" s="251"/>
      <c r="J88" s="252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/>
      <c r="AA88" s="252"/>
      <c r="AB88" s="252"/>
      <c r="AC88" s="252"/>
      <c r="AD88" s="252"/>
      <c r="AE88" s="252"/>
      <c r="AF88" s="252"/>
      <c r="AG88" s="252"/>
      <c r="AH88" s="252"/>
      <c r="AI88" s="252"/>
      <c r="AJ88" s="252"/>
      <c r="AK88" s="252"/>
      <c r="AL88" s="252"/>
      <c r="AM88" s="252"/>
      <c r="AN88" s="252"/>
      <c r="AO88" s="252"/>
      <c r="AP88" s="252"/>
      <c r="AQ88" s="252"/>
      <c r="AR88" s="252"/>
      <c r="AS88" s="252"/>
      <c r="AT88" s="252"/>
      <c r="AU88" s="252"/>
      <c r="AV88" s="252"/>
      <c r="AW88" s="252"/>
      <c r="AX88" s="252"/>
      <c r="AY88" s="252"/>
      <c r="AZ88" s="252"/>
      <c r="BA88" s="252"/>
      <c r="BB88" s="252"/>
      <c r="BC88" s="252"/>
      <c r="BD88" s="252"/>
      <c r="BE88" s="252"/>
      <c r="BF88" s="252"/>
      <c r="BG88" s="252"/>
      <c r="BH88" s="252"/>
      <c r="BI88" s="252"/>
      <c r="BJ88" s="252"/>
      <c r="BK88" s="252"/>
      <c r="BL88" s="252"/>
      <c r="BM88" s="252"/>
      <c r="BN88" s="252"/>
      <c r="BO88" s="252"/>
      <c r="BP88" s="252"/>
      <c r="BQ88" s="252"/>
      <c r="BR88" s="252"/>
      <c r="BS88" s="252"/>
      <c r="BT88" s="252"/>
      <c r="BU88" s="252"/>
      <c r="BV88" s="252"/>
      <c r="BW88" s="252"/>
      <c r="BX88" s="252"/>
      <c r="BY88" s="252"/>
      <c r="BZ88" s="252"/>
      <c r="CA88" s="252"/>
      <c r="CB88" s="252"/>
      <c r="CC88" s="252"/>
      <c r="CD88" s="252"/>
      <c r="CE88" s="252"/>
      <c r="CF88" s="252"/>
      <c r="CG88" s="252"/>
      <c r="CH88" s="252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</row>
    <row r="89" spans="1:114" s="105" customFormat="1" ht="14.5" customHeight="1" x14ac:dyDescent="0.35">
      <c r="A89" s="271"/>
      <c r="B89" s="258"/>
      <c r="C89" s="117" t="s">
        <v>280</v>
      </c>
      <c r="D89" s="106"/>
      <c r="E89" s="117" t="s">
        <v>287</v>
      </c>
      <c r="F89" s="117"/>
      <c r="G89" s="104"/>
      <c r="H89" s="149" t="s">
        <v>206</v>
      </c>
      <c r="I89" s="251"/>
      <c r="J89" s="252"/>
      <c r="K89" s="252"/>
      <c r="L89" s="252"/>
      <c r="M89" s="252"/>
      <c r="N89" s="252"/>
      <c r="O89" s="252"/>
      <c r="P89" s="252"/>
      <c r="Q89" s="252"/>
      <c r="R89" s="252"/>
      <c r="S89" s="252"/>
      <c r="T89" s="252"/>
      <c r="U89" s="252"/>
      <c r="V89" s="252"/>
      <c r="W89" s="252"/>
      <c r="X89" s="252"/>
      <c r="Y89" s="252"/>
      <c r="Z89" s="252"/>
      <c r="AA89" s="252"/>
      <c r="AB89" s="252"/>
      <c r="AC89" s="252"/>
      <c r="AD89" s="252"/>
      <c r="AE89" s="252"/>
      <c r="AF89" s="252"/>
      <c r="AG89" s="252"/>
      <c r="AH89" s="252"/>
      <c r="AI89" s="252"/>
      <c r="AJ89" s="252"/>
      <c r="AK89" s="252"/>
      <c r="AL89" s="252"/>
      <c r="AM89" s="252"/>
      <c r="AN89" s="252"/>
      <c r="AO89" s="252"/>
      <c r="AP89" s="252"/>
      <c r="AQ89" s="252"/>
      <c r="AR89" s="252"/>
      <c r="AS89" s="252"/>
      <c r="AT89" s="252"/>
      <c r="AU89" s="252"/>
      <c r="AV89" s="252"/>
      <c r="AW89" s="252"/>
      <c r="AX89" s="252"/>
      <c r="AY89" s="252"/>
      <c r="AZ89" s="252"/>
      <c r="BA89" s="252"/>
      <c r="BB89" s="252"/>
      <c r="BC89" s="252"/>
      <c r="BD89" s="252"/>
      <c r="BE89" s="252"/>
      <c r="BF89" s="252"/>
      <c r="BG89" s="252"/>
      <c r="BH89" s="252"/>
      <c r="BI89" s="252"/>
      <c r="BJ89" s="252"/>
      <c r="BK89" s="252"/>
      <c r="BL89" s="252"/>
      <c r="BM89" s="252"/>
      <c r="BN89" s="252"/>
      <c r="BO89" s="252"/>
      <c r="BP89" s="252"/>
      <c r="BQ89" s="252"/>
      <c r="BR89" s="252"/>
      <c r="BS89" s="252"/>
      <c r="BT89" s="252"/>
      <c r="BU89" s="252"/>
      <c r="BV89" s="252"/>
      <c r="BW89" s="252"/>
      <c r="BX89" s="252"/>
      <c r="BY89" s="252"/>
      <c r="BZ89" s="252"/>
      <c r="CA89" s="252"/>
      <c r="CB89" s="252"/>
      <c r="CC89" s="252"/>
      <c r="CD89" s="252"/>
      <c r="CE89" s="252"/>
      <c r="CF89" s="252"/>
      <c r="CG89" s="252"/>
      <c r="CH89" s="252"/>
    </row>
    <row r="90" spans="1:114" s="105" customFormat="1" ht="14.5" customHeight="1" x14ac:dyDescent="0.35">
      <c r="A90" s="271"/>
      <c r="B90" s="258"/>
      <c r="C90" s="117" t="s">
        <v>281</v>
      </c>
      <c r="D90" s="106"/>
      <c r="E90" s="117"/>
      <c r="F90" s="117"/>
      <c r="G90" s="104"/>
      <c r="H90" s="149" t="s">
        <v>206</v>
      </c>
      <c r="I90" s="251"/>
      <c r="J90" s="252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/>
      <c r="AA90" s="252"/>
      <c r="AB90" s="252"/>
      <c r="AC90" s="252"/>
      <c r="AD90" s="252"/>
      <c r="AE90" s="252"/>
      <c r="AF90" s="252"/>
      <c r="AG90" s="252"/>
      <c r="AH90" s="252"/>
      <c r="AI90" s="252"/>
      <c r="AJ90" s="252"/>
      <c r="AK90" s="252"/>
      <c r="AL90" s="252"/>
      <c r="AM90" s="252"/>
      <c r="AN90" s="252"/>
      <c r="AO90" s="252"/>
      <c r="AP90" s="252"/>
      <c r="AQ90" s="252"/>
      <c r="AR90" s="252"/>
      <c r="AS90" s="252"/>
      <c r="AT90" s="252"/>
      <c r="AU90" s="252"/>
      <c r="AV90" s="252"/>
      <c r="AW90" s="252"/>
      <c r="AX90" s="252"/>
      <c r="AY90" s="252"/>
      <c r="AZ90" s="252"/>
      <c r="BA90" s="252"/>
      <c r="BB90" s="252"/>
      <c r="BC90" s="252"/>
      <c r="BD90" s="252"/>
      <c r="BE90" s="252"/>
      <c r="BF90" s="252"/>
      <c r="BG90" s="252"/>
      <c r="BH90" s="252"/>
      <c r="BI90" s="252"/>
      <c r="BJ90" s="252"/>
      <c r="BK90" s="252"/>
      <c r="BL90" s="252"/>
      <c r="BM90" s="252"/>
      <c r="BN90" s="252"/>
      <c r="BO90" s="252"/>
      <c r="BP90" s="252"/>
      <c r="BQ90" s="252"/>
      <c r="BR90" s="252"/>
      <c r="BS90" s="252"/>
      <c r="BT90" s="252"/>
      <c r="BU90" s="252"/>
      <c r="BV90" s="252"/>
      <c r="BW90" s="252"/>
      <c r="BX90" s="252"/>
      <c r="BY90" s="252"/>
      <c r="BZ90" s="252"/>
      <c r="CA90" s="252"/>
      <c r="CB90" s="252"/>
      <c r="CC90" s="252"/>
      <c r="CD90" s="252"/>
      <c r="CE90" s="252"/>
      <c r="CF90" s="252"/>
      <c r="CG90" s="252"/>
      <c r="CH90" s="252"/>
    </row>
    <row r="91" spans="1:114" s="105" customFormat="1" ht="15" customHeight="1" x14ac:dyDescent="0.35">
      <c r="A91" s="271"/>
      <c r="B91" s="258"/>
      <c r="C91" s="117" t="s">
        <v>282</v>
      </c>
      <c r="D91" s="106"/>
      <c r="E91" s="117"/>
      <c r="F91" s="117"/>
      <c r="G91" s="104"/>
      <c r="H91" s="129" t="s">
        <v>206</v>
      </c>
      <c r="I91" s="251"/>
      <c r="J91" s="252"/>
      <c r="K91" s="252"/>
      <c r="L91" s="252"/>
      <c r="M91" s="252"/>
      <c r="N91" s="252"/>
      <c r="O91" s="252"/>
      <c r="P91" s="252"/>
      <c r="Q91" s="252"/>
      <c r="R91" s="252"/>
      <c r="S91" s="252"/>
      <c r="T91" s="252"/>
      <c r="U91" s="252"/>
      <c r="V91" s="252"/>
      <c r="W91" s="252"/>
      <c r="X91" s="252"/>
      <c r="Y91" s="252"/>
      <c r="Z91" s="252"/>
      <c r="AA91" s="252"/>
      <c r="AB91" s="252"/>
      <c r="AC91" s="252"/>
      <c r="AD91" s="252"/>
      <c r="AE91" s="252"/>
      <c r="AF91" s="252"/>
      <c r="AG91" s="252"/>
      <c r="AH91" s="252"/>
      <c r="AI91" s="252"/>
      <c r="AJ91" s="252"/>
      <c r="AK91" s="252"/>
      <c r="AL91" s="252"/>
      <c r="AM91" s="252"/>
      <c r="AN91" s="252"/>
      <c r="AO91" s="252"/>
      <c r="AP91" s="252"/>
      <c r="AQ91" s="252"/>
      <c r="AR91" s="252"/>
      <c r="AS91" s="252"/>
      <c r="AT91" s="252"/>
      <c r="AU91" s="252"/>
      <c r="AV91" s="252"/>
      <c r="AW91" s="252"/>
      <c r="AX91" s="252"/>
      <c r="AY91" s="252"/>
      <c r="AZ91" s="252"/>
      <c r="BA91" s="252"/>
      <c r="BB91" s="252"/>
      <c r="BC91" s="252"/>
      <c r="BD91" s="252"/>
      <c r="BE91" s="252"/>
      <c r="BF91" s="252"/>
      <c r="BG91" s="252"/>
      <c r="BH91" s="252"/>
      <c r="BI91" s="252"/>
      <c r="BJ91" s="252"/>
      <c r="BK91" s="252"/>
      <c r="BL91" s="252"/>
      <c r="BM91" s="252"/>
      <c r="BN91" s="252"/>
      <c r="BO91" s="252"/>
      <c r="BP91" s="252"/>
      <c r="BQ91" s="252"/>
      <c r="BR91" s="252"/>
      <c r="BS91" s="252"/>
      <c r="BT91" s="252"/>
      <c r="BU91" s="252"/>
      <c r="BV91" s="252"/>
      <c r="BW91" s="252"/>
      <c r="BX91" s="252"/>
      <c r="BY91" s="252"/>
      <c r="BZ91" s="252"/>
      <c r="CA91" s="252"/>
      <c r="CB91" s="252"/>
      <c r="CC91" s="252"/>
      <c r="CD91" s="252"/>
      <c r="CE91" s="252"/>
      <c r="CF91" s="252"/>
      <c r="CG91" s="252"/>
      <c r="CH91" s="252"/>
    </row>
    <row r="92" spans="1:114" ht="14.5" customHeight="1" x14ac:dyDescent="0.35">
      <c r="A92" s="271"/>
      <c r="B92" s="255"/>
      <c r="C92" s="113" t="s">
        <v>213</v>
      </c>
      <c r="D92" s="21"/>
      <c r="E92" s="111"/>
      <c r="F92" s="17"/>
      <c r="G92" s="12"/>
      <c r="H92" s="128"/>
    </row>
    <row r="93" spans="1:114" s="105" customFormat="1" ht="13" customHeight="1" x14ac:dyDescent="0.35">
      <c r="A93" s="272"/>
      <c r="B93" s="258"/>
      <c r="C93" s="114" t="s">
        <v>238</v>
      </c>
      <c r="D93" s="155" t="s">
        <v>233</v>
      </c>
      <c r="E93" s="150" t="s">
        <v>231</v>
      </c>
      <c r="F93" s="117"/>
      <c r="G93" s="104"/>
      <c r="H93" s="129" t="s">
        <v>206</v>
      </c>
      <c r="I93" s="251"/>
      <c r="J93" s="252"/>
      <c r="K93" s="252"/>
      <c r="L93" s="252"/>
      <c r="M93" s="252"/>
      <c r="N93" s="252"/>
      <c r="O93" s="252"/>
      <c r="P93" s="252"/>
      <c r="Q93" s="252"/>
      <c r="R93" s="252"/>
      <c r="S93" s="252"/>
      <c r="T93" s="252"/>
      <c r="U93" s="252"/>
      <c r="V93" s="252"/>
      <c r="W93" s="252"/>
      <c r="X93" s="252"/>
      <c r="Y93" s="252"/>
      <c r="Z93" s="252"/>
      <c r="AA93" s="252"/>
      <c r="AB93" s="252"/>
      <c r="AC93" s="252"/>
      <c r="AD93" s="252"/>
      <c r="AE93" s="252"/>
      <c r="AF93" s="252"/>
      <c r="AG93" s="252"/>
      <c r="AH93" s="252"/>
      <c r="AI93" s="252"/>
      <c r="AJ93" s="252"/>
      <c r="AK93" s="252"/>
      <c r="AL93" s="252"/>
      <c r="AM93" s="252"/>
      <c r="AN93" s="252"/>
      <c r="AO93" s="252"/>
      <c r="AP93" s="252"/>
      <c r="AQ93" s="252"/>
      <c r="AR93" s="252"/>
      <c r="AS93" s="252"/>
      <c r="AT93" s="252"/>
      <c r="AU93" s="252"/>
      <c r="AV93" s="252"/>
      <c r="AW93" s="252"/>
      <c r="AX93" s="252"/>
      <c r="AY93" s="252"/>
      <c r="AZ93" s="252"/>
      <c r="BA93" s="252"/>
      <c r="BB93" s="252"/>
      <c r="BC93" s="252"/>
      <c r="BD93" s="252"/>
      <c r="BE93" s="252"/>
      <c r="BF93" s="252"/>
      <c r="BG93" s="252"/>
      <c r="BH93" s="252"/>
      <c r="BI93" s="252"/>
      <c r="BJ93" s="252"/>
      <c r="BK93" s="252"/>
      <c r="BL93" s="252"/>
      <c r="BM93" s="252"/>
      <c r="BN93" s="252"/>
      <c r="BO93" s="252"/>
      <c r="BP93" s="252"/>
      <c r="BQ93" s="252"/>
      <c r="BR93" s="252"/>
      <c r="BS93" s="252"/>
      <c r="BT93" s="252"/>
      <c r="BU93" s="252"/>
      <c r="BV93" s="252"/>
      <c r="BW93" s="252"/>
      <c r="BX93" s="252"/>
      <c r="BY93" s="252"/>
      <c r="BZ93" s="252"/>
      <c r="CA93" s="252"/>
      <c r="CB93" s="252"/>
      <c r="CC93" s="252"/>
      <c r="CD93" s="252"/>
      <c r="CE93" s="252"/>
      <c r="CF93" s="252"/>
      <c r="CG93" s="252"/>
      <c r="CH93" s="252"/>
    </row>
    <row r="94" spans="1:114" s="122" customFormat="1" ht="19" customHeight="1" x14ac:dyDescent="0.35">
      <c r="A94" s="273" t="s">
        <v>309</v>
      </c>
      <c r="B94" s="156">
        <v>1</v>
      </c>
      <c r="C94" s="119" t="s">
        <v>308</v>
      </c>
      <c r="D94" s="119"/>
      <c r="E94" s="141"/>
      <c r="F94" s="120"/>
      <c r="G94" s="172">
        <v>46203</v>
      </c>
      <c r="H94" s="127"/>
      <c r="I94" s="251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/>
      <c r="AA94" s="252"/>
      <c r="AB94" s="252"/>
      <c r="AC94" s="252"/>
      <c r="AD94" s="252"/>
      <c r="AE94" s="252"/>
      <c r="AF94" s="252"/>
      <c r="AG94" s="252"/>
      <c r="AH94" s="252"/>
      <c r="AI94" s="252"/>
      <c r="AJ94" s="252"/>
      <c r="AK94" s="252"/>
      <c r="AL94" s="252"/>
      <c r="AM94" s="252"/>
      <c r="AN94" s="252"/>
      <c r="AO94" s="252"/>
      <c r="AP94" s="252"/>
      <c r="AQ94" s="252"/>
      <c r="AR94" s="252"/>
      <c r="AS94" s="252"/>
      <c r="AT94" s="252"/>
      <c r="AU94" s="252"/>
      <c r="AV94" s="252"/>
      <c r="AW94" s="252"/>
      <c r="AX94" s="252"/>
      <c r="AY94" s="252"/>
      <c r="AZ94" s="252"/>
      <c r="BA94" s="252"/>
      <c r="BB94" s="252"/>
      <c r="BC94" s="252"/>
      <c r="BD94" s="252"/>
      <c r="BE94" s="252"/>
      <c r="BF94" s="252"/>
      <c r="BG94" s="252"/>
      <c r="BH94" s="252"/>
      <c r="BI94" s="252"/>
      <c r="BJ94" s="252"/>
      <c r="BK94" s="252"/>
      <c r="BL94" s="252"/>
      <c r="BM94" s="252"/>
      <c r="BN94" s="252"/>
      <c r="BO94" s="252"/>
      <c r="BP94" s="252"/>
      <c r="BQ94" s="252"/>
      <c r="BR94" s="252"/>
      <c r="BS94" s="252"/>
      <c r="BT94" s="252"/>
      <c r="BU94" s="252"/>
      <c r="BV94" s="252"/>
      <c r="BW94" s="252"/>
      <c r="BX94" s="252"/>
      <c r="BY94" s="252"/>
      <c r="BZ94" s="252"/>
      <c r="CA94" s="252"/>
      <c r="CB94" s="252"/>
      <c r="CC94" s="252"/>
      <c r="CD94" s="252"/>
      <c r="CE94" s="252"/>
      <c r="CF94" s="252"/>
      <c r="CG94" s="252"/>
      <c r="CH94" s="252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</row>
    <row r="95" spans="1:114" s="189" customFormat="1" ht="15.5" customHeight="1" x14ac:dyDescent="0.35">
      <c r="A95" s="274"/>
      <c r="B95" s="262"/>
      <c r="C95" s="187" t="s">
        <v>185</v>
      </c>
      <c r="D95" s="188"/>
      <c r="E95" s="187" t="s">
        <v>212</v>
      </c>
      <c r="F95" s="187"/>
      <c r="G95" s="183"/>
      <c r="H95" s="184" t="s">
        <v>173</v>
      </c>
      <c r="I95" s="251"/>
      <c r="J95" s="252"/>
      <c r="K95" s="252"/>
      <c r="L95" s="252"/>
      <c r="M95" s="252"/>
      <c r="N95" s="252"/>
      <c r="O95" s="252"/>
      <c r="P95" s="252"/>
      <c r="Q95" s="252"/>
      <c r="R95" s="252"/>
      <c r="S95" s="252"/>
      <c r="T95" s="252"/>
      <c r="U95" s="252"/>
      <c r="V95" s="252"/>
      <c r="W95" s="252"/>
      <c r="X95" s="252"/>
      <c r="Y95" s="252"/>
      <c r="Z95" s="252"/>
      <c r="AA95" s="252"/>
      <c r="AB95" s="252"/>
      <c r="AC95" s="252"/>
      <c r="AD95" s="252"/>
      <c r="AE95" s="252"/>
      <c r="AF95" s="252"/>
      <c r="AG95" s="252"/>
      <c r="AH95" s="252"/>
      <c r="AI95" s="252"/>
      <c r="AJ95" s="252"/>
      <c r="AK95" s="252"/>
      <c r="AL95" s="252"/>
      <c r="AM95" s="252"/>
      <c r="AN95" s="252"/>
      <c r="AO95" s="252"/>
      <c r="AP95" s="252"/>
      <c r="AQ95" s="252"/>
      <c r="AR95" s="252"/>
      <c r="AS95" s="252"/>
      <c r="AT95" s="252"/>
      <c r="AU95" s="252"/>
      <c r="AV95" s="252"/>
      <c r="AW95" s="252"/>
      <c r="AX95" s="252"/>
      <c r="AY95" s="252"/>
      <c r="AZ95" s="252"/>
      <c r="BA95" s="252"/>
      <c r="BB95" s="252"/>
      <c r="BC95" s="252"/>
      <c r="BD95" s="252"/>
      <c r="BE95" s="252"/>
      <c r="BF95" s="252"/>
      <c r="BG95" s="252"/>
      <c r="BH95" s="252"/>
      <c r="BI95" s="252"/>
      <c r="BJ95" s="252"/>
      <c r="BK95" s="252"/>
      <c r="BL95" s="252"/>
      <c r="BM95" s="252"/>
      <c r="BN95" s="252"/>
      <c r="BO95" s="252"/>
      <c r="BP95" s="252"/>
      <c r="BQ95" s="252"/>
      <c r="BR95" s="252"/>
      <c r="BS95" s="252"/>
      <c r="BT95" s="252"/>
      <c r="BU95" s="252"/>
      <c r="BV95" s="252"/>
      <c r="BW95" s="252"/>
      <c r="BX95" s="252"/>
      <c r="BY95" s="252"/>
      <c r="BZ95" s="252"/>
      <c r="CA95" s="252"/>
      <c r="CB95" s="252"/>
      <c r="CC95" s="252"/>
      <c r="CD95" s="252"/>
      <c r="CE95" s="252"/>
      <c r="CF95" s="252"/>
      <c r="CG95" s="252"/>
      <c r="CH95" s="252"/>
    </row>
    <row r="96" spans="1:114" s="189" customFormat="1" ht="18.5" customHeight="1" x14ac:dyDescent="0.35">
      <c r="A96" s="274"/>
      <c r="B96" s="266"/>
      <c r="C96" s="190" t="s">
        <v>186</v>
      </c>
      <c r="D96" s="191"/>
      <c r="E96" s="190" t="s">
        <v>311</v>
      </c>
      <c r="F96" s="187"/>
      <c r="G96" s="192"/>
      <c r="H96" s="184" t="s">
        <v>173</v>
      </c>
      <c r="I96" s="251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/>
      <c r="AA96" s="252"/>
      <c r="AB96" s="252"/>
      <c r="AC96" s="252"/>
      <c r="AD96" s="252"/>
      <c r="AE96" s="252"/>
      <c r="AF96" s="252"/>
      <c r="AG96" s="252"/>
      <c r="AH96" s="252"/>
      <c r="AI96" s="252"/>
      <c r="AJ96" s="252"/>
      <c r="AK96" s="252"/>
      <c r="AL96" s="252"/>
      <c r="AM96" s="252"/>
      <c r="AN96" s="252"/>
      <c r="AO96" s="252"/>
      <c r="AP96" s="252"/>
      <c r="AQ96" s="252"/>
      <c r="AR96" s="252"/>
      <c r="AS96" s="252"/>
      <c r="AT96" s="252"/>
      <c r="AU96" s="252"/>
      <c r="AV96" s="252"/>
      <c r="AW96" s="252"/>
      <c r="AX96" s="252"/>
      <c r="AY96" s="252"/>
      <c r="AZ96" s="252"/>
      <c r="BA96" s="252"/>
      <c r="BB96" s="252"/>
      <c r="BC96" s="252"/>
      <c r="BD96" s="252"/>
      <c r="BE96" s="252"/>
      <c r="BF96" s="252"/>
      <c r="BG96" s="252"/>
      <c r="BH96" s="252"/>
      <c r="BI96" s="252"/>
      <c r="BJ96" s="252"/>
      <c r="BK96" s="252"/>
      <c r="BL96" s="252"/>
      <c r="BM96" s="252"/>
      <c r="BN96" s="252"/>
      <c r="BO96" s="252"/>
      <c r="BP96" s="252"/>
      <c r="BQ96" s="252"/>
      <c r="BR96" s="252"/>
      <c r="BS96" s="252"/>
      <c r="BT96" s="252"/>
      <c r="BU96" s="252"/>
      <c r="BV96" s="252"/>
      <c r="BW96" s="252"/>
      <c r="BX96" s="252"/>
      <c r="BY96" s="252"/>
      <c r="BZ96" s="252"/>
      <c r="CA96" s="252"/>
      <c r="CB96" s="252"/>
      <c r="CC96" s="252"/>
      <c r="CD96" s="252"/>
      <c r="CE96" s="252"/>
      <c r="CF96" s="252"/>
      <c r="CG96" s="252"/>
      <c r="CH96" s="252"/>
    </row>
    <row r="97" spans="1:115" s="185" customFormat="1" ht="16" customHeight="1" x14ac:dyDescent="0.35">
      <c r="A97" s="274"/>
      <c r="B97" s="262"/>
      <c r="C97" s="187" t="s">
        <v>191</v>
      </c>
      <c r="D97" s="188"/>
      <c r="E97" s="180" t="s">
        <v>305</v>
      </c>
      <c r="F97" s="187"/>
      <c r="G97" s="183"/>
      <c r="H97" s="184" t="s">
        <v>173</v>
      </c>
      <c r="I97" s="251"/>
      <c r="J97" s="252"/>
      <c r="K97" s="252"/>
      <c r="L97" s="252"/>
      <c r="M97" s="252"/>
      <c r="N97" s="252"/>
      <c r="O97" s="252"/>
      <c r="P97" s="252"/>
      <c r="Q97" s="252"/>
      <c r="R97" s="252"/>
      <c r="S97" s="252"/>
      <c r="T97" s="252"/>
      <c r="U97" s="252"/>
      <c r="V97" s="252"/>
      <c r="W97" s="252"/>
      <c r="X97" s="252"/>
      <c r="Y97" s="252"/>
      <c r="Z97" s="252"/>
      <c r="AA97" s="252"/>
      <c r="AB97" s="252"/>
      <c r="AC97" s="252"/>
      <c r="AD97" s="252"/>
      <c r="AE97" s="252"/>
      <c r="AF97" s="252"/>
      <c r="AG97" s="252"/>
      <c r="AH97" s="252"/>
      <c r="AI97" s="252"/>
      <c r="AJ97" s="252"/>
      <c r="AK97" s="252"/>
      <c r="AL97" s="252"/>
      <c r="AM97" s="252"/>
      <c r="AN97" s="252"/>
      <c r="AO97" s="252"/>
      <c r="AP97" s="252"/>
      <c r="AQ97" s="252"/>
      <c r="AR97" s="252"/>
      <c r="AS97" s="252"/>
      <c r="AT97" s="252"/>
      <c r="AU97" s="252"/>
      <c r="AV97" s="252"/>
      <c r="AW97" s="252"/>
      <c r="AX97" s="252"/>
      <c r="AY97" s="252"/>
      <c r="AZ97" s="252"/>
      <c r="BA97" s="252"/>
      <c r="BB97" s="252"/>
      <c r="BC97" s="252"/>
      <c r="BD97" s="252"/>
      <c r="BE97" s="252"/>
      <c r="BF97" s="252"/>
      <c r="BG97" s="252"/>
      <c r="BH97" s="252"/>
      <c r="BI97" s="252"/>
      <c r="BJ97" s="252"/>
      <c r="BK97" s="252"/>
      <c r="BL97" s="252"/>
      <c r="BM97" s="252"/>
      <c r="BN97" s="252"/>
      <c r="BO97" s="252"/>
      <c r="BP97" s="252"/>
      <c r="BQ97" s="252"/>
      <c r="BR97" s="252"/>
      <c r="BS97" s="252"/>
      <c r="BT97" s="252"/>
      <c r="BU97" s="252"/>
      <c r="BV97" s="252"/>
      <c r="BW97" s="252"/>
      <c r="BX97" s="252"/>
      <c r="BY97" s="252"/>
      <c r="BZ97" s="252"/>
      <c r="CA97" s="252"/>
      <c r="CB97" s="252"/>
      <c r="CC97" s="252"/>
      <c r="CD97" s="252"/>
      <c r="CE97" s="252"/>
      <c r="CF97" s="252"/>
      <c r="CG97" s="252"/>
      <c r="CH97" s="252"/>
      <c r="CI97" s="189"/>
      <c r="CJ97" s="189"/>
      <c r="CK97" s="189"/>
      <c r="CL97" s="189"/>
      <c r="CM97" s="189"/>
      <c r="CN97" s="189"/>
      <c r="CO97" s="189"/>
      <c r="CP97" s="189"/>
      <c r="CQ97" s="189"/>
      <c r="CR97" s="189"/>
      <c r="CS97" s="189"/>
      <c r="CT97" s="189"/>
      <c r="CU97" s="189"/>
      <c r="CV97" s="189"/>
      <c r="CW97" s="189"/>
      <c r="CX97" s="189"/>
      <c r="CY97" s="189"/>
      <c r="CZ97" s="189"/>
      <c r="DA97" s="189"/>
      <c r="DB97" s="189"/>
      <c r="DC97" s="189"/>
      <c r="DD97" s="189"/>
      <c r="DE97" s="189"/>
      <c r="DF97" s="189"/>
      <c r="DG97" s="189"/>
      <c r="DH97" s="189"/>
      <c r="DI97" s="189"/>
      <c r="DJ97" s="189"/>
      <c r="DK97" s="186"/>
    </row>
    <row r="98" spans="1:115" s="103" customFormat="1" ht="16" customHeight="1" x14ac:dyDescent="0.35">
      <c r="A98" s="274"/>
      <c r="B98" s="258"/>
      <c r="C98" s="117" t="s">
        <v>270</v>
      </c>
      <c r="D98" s="118"/>
      <c r="E98" s="142"/>
      <c r="F98" s="117"/>
      <c r="G98" s="104"/>
      <c r="H98" s="129" t="s">
        <v>175</v>
      </c>
      <c r="I98" s="251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/>
      <c r="AA98" s="252"/>
      <c r="AB98" s="252"/>
      <c r="AC98" s="252"/>
      <c r="AD98" s="252"/>
      <c r="AE98" s="252"/>
      <c r="AF98" s="252"/>
      <c r="AG98" s="252"/>
      <c r="AH98" s="252"/>
      <c r="AI98" s="252"/>
      <c r="AJ98" s="252"/>
      <c r="AK98" s="252"/>
      <c r="AL98" s="252"/>
      <c r="AM98" s="252"/>
      <c r="AN98" s="252"/>
      <c r="AO98" s="252"/>
      <c r="AP98" s="252"/>
      <c r="AQ98" s="252"/>
      <c r="AR98" s="252"/>
      <c r="AS98" s="252"/>
      <c r="AT98" s="252"/>
      <c r="AU98" s="252"/>
      <c r="AV98" s="252"/>
      <c r="AW98" s="252"/>
      <c r="AX98" s="252"/>
      <c r="AY98" s="252"/>
      <c r="AZ98" s="252"/>
      <c r="BA98" s="252"/>
      <c r="BB98" s="252"/>
      <c r="BC98" s="252"/>
      <c r="BD98" s="252"/>
      <c r="BE98" s="252"/>
      <c r="BF98" s="252"/>
      <c r="BG98" s="252"/>
      <c r="BH98" s="252"/>
      <c r="BI98" s="252"/>
      <c r="BJ98" s="252"/>
      <c r="BK98" s="252"/>
      <c r="BL98" s="252"/>
      <c r="BM98" s="252"/>
      <c r="BN98" s="252"/>
      <c r="BO98" s="252"/>
      <c r="BP98" s="252"/>
      <c r="BQ98" s="252"/>
      <c r="BR98" s="252"/>
      <c r="BS98" s="252"/>
      <c r="BT98" s="252"/>
      <c r="BU98" s="252"/>
      <c r="BV98" s="252"/>
      <c r="BW98" s="252"/>
      <c r="BX98" s="252"/>
      <c r="BY98" s="252"/>
      <c r="BZ98" s="252"/>
      <c r="CA98" s="252"/>
      <c r="CB98" s="252"/>
      <c r="CC98" s="252"/>
      <c r="CD98" s="252"/>
      <c r="CE98" s="252"/>
      <c r="CF98" s="252"/>
      <c r="CG98" s="252"/>
      <c r="CH98" s="252"/>
      <c r="CI98" s="105"/>
      <c r="CJ98" s="105"/>
      <c r="CK98" s="105"/>
      <c r="CL98" s="105"/>
      <c r="CM98" s="105"/>
      <c r="CN98" s="105"/>
      <c r="CO98" s="105"/>
      <c r="CP98" s="105"/>
      <c r="CQ98" s="105"/>
      <c r="CR98" s="105"/>
      <c r="CS98" s="105"/>
      <c r="CT98" s="105"/>
      <c r="CU98" s="105"/>
      <c r="CV98" s="105"/>
      <c r="CW98" s="105"/>
      <c r="CX98" s="105"/>
      <c r="CY98" s="105"/>
      <c r="CZ98" s="105"/>
      <c r="DA98" s="105"/>
      <c r="DB98" s="105"/>
      <c r="DC98" s="105"/>
      <c r="DD98" s="105"/>
      <c r="DE98" s="105"/>
      <c r="DF98" s="105"/>
      <c r="DG98" s="105"/>
      <c r="DH98" s="105"/>
      <c r="DI98" s="105"/>
      <c r="DJ98" s="105"/>
      <c r="DK98" s="131"/>
    </row>
    <row r="99" spans="1:115" s="185" customFormat="1" ht="16" customHeight="1" x14ac:dyDescent="0.35">
      <c r="A99" s="274"/>
      <c r="B99" s="262"/>
      <c r="C99" s="193" t="s">
        <v>192</v>
      </c>
      <c r="D99" s="188"/>
      <c r="E99" s="180"/>
      <c r="F99" s="194"/>
      <c r="G99" s="183"/>
      <c r="H99" s="184" t="s">
        <v>173</v>
      </c>
      <c r="I99" s="251"/>
      <c r="J99" s="252"/>
      <c r="K99" s="252"/>
      <c r="L99" s="252"/>
      <c r="M99" s="252"/>
      <c r="N99" s="252"/>
      <c r="O99" s="252"/>
      <c r="P99" s="252"/>
      <c r="Q99" s="252"/>
      <c r="R99" s="252"/>
      <c r="S99" s="252"/>
      <c r="T99" s="252"/>
      <c r="U99" s="252"/>
      <c r="V99" s="252"/>
      <c r="W99" s="252"/>
      <c r="X99" s="252"/>
      <c r="Y99" s="252"/>
      <c r="Z99" s="252"/>
      <c r="AA99" s="252"/>
      <c r="AB99" s="252"/>
      <c r="AC99" s="252"/>
      <c r="AD99" s="252"/>
      <c r="AE99" s="252"/>
      <c r="AF99" s="252"/>
      <c r="AG99" s="252"/>
      <c r="AH99" s="252"/>
      <c r="AI99" s="252"/>
      <c r="AJ99" s="252"/>
      <c r="AK99" s="252"/>
      <c r="AL99" s="252"/>
      <c r="AM99" s="252"/>
      <c r="AN99" s="252"/>
      <c r="AO99" s="252"/>
      <c r="AP99" s="252"/>
      <c r="AQ99" s="252"/>
      <c r="AR99" s="252"/>
      <c r="AS99" s="252"/>
      <c r="AT99" s="252"/>
      <c r="AU99" s="252"/>
      <c r="AV99" s="252"/>
      <c r="AW99" s="252"/>
      <c r="AX99" s="252"/>
      <c r="AY99" s="252"/>
      <c r="AZ99" s="252"/>
      <c r="BA99" s="252"/>
      <c r="BB99" s="252"/>
      <c r="BC99" s="252"/>
      <c r="BD99" s="252"/>
      <c r="BE99" s="252"/>
      <c r="BF99" s="252"/>
      <c r="BG99" s="252"/>
      <c r="BH99" s="252"/>
      <c r="BI99" s="252"/>
      <c r="BJ99" s="252"/>
      <c r="BK99" s="252"/>
      <c r="BL99" s="252"/>
      <c r="BM99" s="252"/>
      <c r="BN99" s="252"/>
      <c r="BO99" s="252"/>
      <c r="BP99" s="252"/>
      <c r="BQ99" s="252"/>
      <c r="BR99" s="252"/>
      <c r="BS99" s="252"/>
      <c r="BT99" s="252"/>
      <c r="BU99" s="252"/>
      <c r="BV99" s="252"/>
      <c r="BW99" s="252"/>
      <c r="BX99" s="252"/>
      <c r="BY99" s="252"/>
      <c r="BZ99" s="252"/>
      <c r="CA99" s="252"/>
      <c r="CB99" s="252"/>
      <c r="CC99" s="252"/>
      <c r="CD99" s="252"/>
      <c r="CE99" s="252"/>
      <c r="CF99" s="252"/>
      <c r="CG99" s="252"/>
      <c r="CH99" s="252"/>
      <c r="CI99" s="189"/>
      <c r="CJ99" s="189"/>
      <c r="CK99" s="189"/>
      <c r="CL99" s="189"/>
      <c r="CM99" s="189"/>
      <c r="CN99" s="189"/>
      <c r="CO99" s="189"/>
      <c r="CP99" s="189"/>
      <c r="CQ99" s="189"/>
      <c r="CR99" s="189"/>
      <c r="CS99" s="189"/>
      <c r="CT99" s="189"/>
      <c r="CU99" s="189"/>
      <c r="CV99" s="189"/>
      <c r="CW99" s="189"/>
      <c r="CX99" s="189"/>
      <c r="CY99" s="189"/>
      <c r="CZ99" s="189"/>
      <c r="DA99" s="189"/>
      <c r="DB99" s="189"/>
      <c r="DC99" s="189"/>
      <c r="DD99" s="189"/>
      <c r="DE99" s="189"/>
      <c r="DF99" s="189"/>
      <c r="DG99" s="189"/>
      <c r="DH99" s="189"/>
      <c r="DI99" s="189"/>
      <c r="DJ99" s="189"/>
      <c r="DK99" s="186"/>
    </row>
    <row r="100" spans="1:115" s="3" customFormat="1" ht="15.5" customHeight="1" x14ac:dyDescent="0.35">
      <c r="A100" s="274"/>
      <c r="B100" s="255"/>
      <c r="C100" s="113" t="s">
        <v>187</v>
      </c>
      <c r="D100" s="19"/>
      <c r="E100" s="140"/>
      <c r="F100" s="16"/>
      <c r="G100" s="12"/>
      <c r="H100" s="128"/>
      <c r="I100" s="251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/>
      <c r="AA100" s="252"/>
      <c r="AB100" s="252"/>
      <c r="AC100" s="252"/>
      <c r="AD100" s="252"/>
      <c r="AE100" s="252"/>
      <c r="AF100" s="252"/>
      <c r="AG100" s="252"/>
      <c r="AH100" s="252"/>
      <c r="AI100" s="252"/>
      <c r="AJ100" s="252"/>
      <c r="AK100" s="252"/>
      <c r="AL100" s="252"/>
      <c r="AM100" s="252"/>
      <c r="AN100" s="252"/>
      <c r="AO100" s="252"/>
      <c r="AP100" s="252"/>
      <c r="AQ100" s="252"/>
      <c r="AR100" s="252"/>
      <c r="AS100" s="252"/>
      <c r="AT100" s="252"/>
      <c r="AU100" s="252"/>
      <c r="AV100" s="252"/>
      <c r="AW100" s="252"/>
      <c r="AX100" s="252"/>
      <c r="AY100" s="252"/>
      <c r="AZ100" s="252"/>
      <c r="BA100" s="252"/>
      <c r="BB100" s="252"/>
      <c r="BC100" s="252"/>
      <c r="BD100" s="252"/>
      <c r="BE100" s="252"/>
      <c r="BF100" s="252"/>
      <c r="BG100" s="252"/>
      <c r="BH100" s="252"/>
      <c r="BI100" s="252"/>
      <c r="BJ100" s="252"/>
      <c r="BK100" s="252"/>
      <c r="BL100" s="252"/>
      <c r="BM100" s="252"/>
      <c r="BN100" s="252"/>
      <c r="BO100" s="252"/>
      <c r="BP100" s="252"/>
      <c r="BQ100" s="252"/>
      <c r="BR100" s="252"/>
      <c r="BS100" s="252"/>
      <c r="BT100" s="252"/>
      <c r="BU100" s="252"/>
      <c r="BV100" s="252"/>
      <c r="BW100" s="252"/>
      <c r="BX100" s="252"/>
      <c r="BY100" s="252"/>
      <c r="BZ100" s="252"/>
      <c r="CA100" s="252"/>
      <c r="CB100" s="252"/>
      <c r="CC100" s="252"/>
      <c r="CD100" s="252"/>
      <c r="CE100" s="252"/>
      <c r="CF100" s="252"/>
      <c r="CG100" s="252"/>
      <c r="CH100" s="252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 s="130"/>
    </row>
    <row r="101" spans="1:115" s="185" customFormat="1" ht="15.5" customHeight="1" x14ac:dyDescent="0.35">
      <c r="A101" s="274"/>
      <c r="B101" s="262"/>
      <c r="C101" s="193" t="s">
        <v>265</v>
      </c>
      <c r="D101" s="188"/>
      <c r="E101" s="187" t="s">
        <v>215</v>
      </c>
      <c r="F101" s="187"/>
      <c r="G101" s="183"/>
      <c r="H101" s="184" t="s">
        <v>173</v>
      </c>
      <c r="I101" s="251"/>
      <c r="J101" s="252"/>
      <c r="K101" s="252"/>
      <c r="L101" s="252"/>
      <c r="M101" s="252"/>
      <c r="N101" s="252"/>
      <c r="O101" s="252"/>
      <c r="P101" s="252"/>
      <c r="Q101" s="252"/>
      <c r="R101" s="252"/>
      <c r="S101" s="252"/>
      <c r="T101" s="252"/>
      <c r="U101" s="252"/>
      <c r="V101" s="252"/>
      <c r="W101" s="252"/>
      <c r="X101" s="252"/>
      <c r="Y101" s="252"/>
      <c r="Z101" s="252"/>
      <c r="AA101" s="252"/>
      <c r="AB101" s="252"/>
      <c r="AC101" s="252"/>
      <c r="AD101" s="252"/>
      <c r="AE101" s="252"/>
      <c r="AF101" s="252"/>
      <c r="AG101" s="252"/>
      <c r="AH101" s="252"/>
      <c r="AI101" s="252"/>
      <c r="AJ101" s="252"/>
      <c r="AK101" s="252"/>
      <c r="AL101" s="252"/>
      <c r="AM101" s="252"/>
      <c r="AN101" s="252"/>
      <c r="AO101" s="252"/>
      <c r="AP101" s="252"/>
      <c r="AQ101" s="252"/>
      <c r="AR101" s="252"/>
      <c r="AS101" s="252"/>
      <c r="AT101" s="252"/>
      <c r="AU101" s="252"/>
      <c r="AV101" s="252"/>
      <c r="AW101" s="252"/>
      <c r="AX101" s="252"/>
      <c r="AY101" s="252"/>
      <c r="AZ101" s="252"/>
      <c r="BA101" s="252"/>
      <c r="BB101" s="252"/>
      <c r="BC101" s="252"/>
      <c r="BD101" s="252"/>
      <c r="BE101" s="252"/>
      <c r="BF101" s="252"/>
      <c r="BG101" s="252"/>
      <c r="BH101" s="252"/>
      <c r="BI101" s="252"/>
      <c r="BJ101" s="252"/>
      <c r="BK101" s="252"/>
      <c r="BL101" s="252"/>
      <c r="BM101" s="252"/>
      <c r="BN101" s="252"/>
      <c r="BO101" s="252"/>
      <c r="BP101" s="252"/>
      <c r="BQ101" s="252"/>
      <c r="BR101" s="252"/>
      <c r="BS101" s="252"/>
      <c r="BT101" s="252"/>
      <c r="BU101" s="252"/>
      <c r="BV101" s="252"/>
      <c r="BW101" s="252"/>
      <c r="BX101" s="252"/>
      <c r="BY101" s="252"/>
      <c r="BZ101" s="252"/>
      <c r="CA101" s="252"/>
      <c r="CB101" s="252"/>
      <c r="CC101" s="252"/>
      <c r="CD101" s="252"/>
      <c r="CE101" s="252"/>
      <c r="CF101" s="252"/>
      <c r="CG101" s="252"/>
      <c r="CH101" s="252"/>
      <c r="CI101" s="189"/>
      <c r="CJ101" s="189"/>
      <c r="CK101" s="189"/>
      <c r="CL101" s="189"/>
      <c r="CM101" s="189"/>
      <c r="CN101" s="189"/>
      <c r="CO101" s="189"/>
      <c r="CP101" s="189"/>
      <c r="CQ101" s="189"/>
      <c r="CR101" s="189"/>
      <c r="CS101" s="189"/>
      <c r="CT101" s="189"/>
      <c r="CU101" s="189"/>
      <c r="CV101" s="189"/>
      <c r="CW101" s="189"/>
      <c r="CX101" s="189"/>
      <c r="CY101" s="189"/>
      <c r="CZ101" s="189"/>
      <c r="DA101" s="189"/>
      <c r="DB101" s="189"/>
      <c r="DC101" s="189"/>
      <c r="DD101" s="189"/>
      <c r="DE101" s="189"/>
      <c r="DF101" s="189"/>
      <c r="DG101" s="189"/>
      <c r="DH101" s="189"/>
      <c r="DI101" s="189"/>
      <c r="DJ101" s="189"/>
      <c r="DK101" s="186"/>
    </row>
    <row r="102" spans="1:115" s="3" customFormat="1" ht="15.5" customHeight="1" x14ac:dyDescent="0.35">
      <c r="A102" s="274"/>
      <c r="B102" s="255"/>
      <c r="C102" s="113" t="s">
        <v>188</v>
      </c>
      <c r="D102" s="19"/>
      <c r="E102" s="140"/>
      <c r="F102" s="16"/>
      <c r="G102" s="12"/>
      <c r="H102" s="128"/>
      <c r="I102" s="251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/>
      <c r="AA102" s="252"/>
      <c r="AB102" s="252"/>
      <c r="AC102" s="252"/>
      <c r="AD102" s="252"/>
      <c r="AE102" s="252"/>
      <c r="AF102" s="252"/>
      <c r="AG102" s="252"/>
      <c r="AH102" s="252"/>
      <c r="AI102" s="252"/>
      <c r="AJ102" s="252"/>
      <c r="AK102" s="252"/>
      <c r="AL102" s="252"/>
      <c r="AM102" s="252"/>
      <c r="AN102" s="252"/>
      <c r="AO102" s="252"/>
      <c r="AP102" s="252"/>
      <c r="AQ102" s="252"/>
      <c r="AR102" s="252"/>
      <c r="AS102" s="252"/>
      <c r="AT102" s="252"/>
      <c r="AU102" s="252"/>
      <c r="AV102" s="252"/>
      <c r="AW102" s="252"/>
      <c r="AX102" s="252"/>
      <c r="AY102" s="252"/>
      <c r="AZ102" s="252"/>
      <c r="BA102" s="252"/>
      <c r="BB102" s="252"/>
      <c r="BC102" s="252"/>
      <c r="BD102" s="252"/>
      <c r="BE102" s="252"/>
      <c r="BF102" s="252"/>
      <c r="BG102" s="252"/>
      <c r="BH102" s="252"/>
      <c r="BI102" s="252"/>
      <c r="BJ102" s="252"/>
      <c r="BK102" s="252"/>
      <c r="BL102" s="252"/>
      <c r="BM102" s="252"/>
      <c r="BN102" s="252"/>
      <c r="BO102" s="252"/>
      <c r="BP102" s="252"/>
      <c r="BQ102" s="252"/>
      <c r="BR102" s="252"/>
      <c r="BS102" s="252"/>
      <c r="BT102" s="252"/>
      <c r="BU102" s="252"/>
      <c r="BV102" s="252"/>
      <c r="BW102" s="252"/>
      <c r="BX102" s="252"/>
      <c r="BY102" s="252"/>
      <c r="BZ102" s="252"/>
      <c r="CA102" s="252"/>
      <c r="CB102" s="252"/>
      <c r="CC102" s="252"/>
      <c r="CD102" s="252"/>
      <c r="CE102" s="252"/>
      <c r="CF102" s="252"/>
      <c r="CG102" s="252"/>
      <c r="CH102" s="25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 s="130"/>
    </row>
    <row r="103" spans="1:115" s="3" customFormat="1" ht="15.5" customHeight="1" x14ac:dyDescent="0.35">
      <c r="A103" s="274"/>
      <c r="B103" s="255"/>
      <c r="C103" s="113" t="s">
        <v>189</v>
      </c>
      <c r="D103" s="19"/>
      <c r="E103" s="140"/>
      <c r="F103" s="16"/>
      <c r="G103" s="12"/>
      <c r="H103" s="128"/>
      <c r="I103" s="251"/>
      <c r="J103" s="252"/>
      <c r="K103" s="252"/>
      <c r="L103" s="252"/>
      <c r="M103" s="252"/>
      <c r="N103" s="252"/>
      <c r="O103" s="252"/>
      <c r="P103" s="252"/>
      <c r="Q103" s="252"/>
      <c r="R103" s="252"/>
      <c r="S103" s="252"/>
      <c r="T103" s="252"/>
      <c r="U103" s="252"/>
      <c r="V103" s="252"/>
      <c r="W103" s="252"/>
      <c r="X103" s="252"/>
      <c r="Y103" s="252"/>
      <c r="Z103" s="252"/>
      <c r="AA103" s="252"/>
      <c r="AB103" s="252"/>
      <c r="AC103" s="252"/>
      <c r="AD103" s="252"/>
      <c r="AE103" s="252"/>
      <c r="AF103" s="252"/>
      <c r="AG103" s="252"/>
      <c r="AH103" s="252"/>
      <c r="AI103" s="252"/>
      <c r="AJ103" s="252"/>
      <c r="AK103" s="252"/>
      <c r="AL103" s="252"/>
      <c r="AM103" s="252"/>
      <c r="AN103" s="252"/>
      <c r="AO103" s="252"/>
      <c r="AP103" s="252"/>
      <c r="AQ103" s="252"/>
      <c r="AR103" s="252"/>
      <c r="AS103" s="252"/>
      <c r="AT103" s="252"/>
      <c r="AU103" s="252"/>
      <c r="AV103" s="252"/>
      <c r="AW103" s="252"/>
      <c r="AX103" s="252"/>
      <c r="AY103" s="252"/>
      <c r="AZ103" s="252"/>
      <c r="BA103" s="252"/>
      <c r="BB103" s="252"/>
      <c r="BC103" s="252"/>
      <c r="BD103" s="252"/>
      <c r="BE103" s="252"/>
      <c r="BF103" s="252"/>
      <c r="BG103" s="252"/>
      <c r="BH103" s="252"/>
      <c r="BI103" s="252"/>
      <c r="BJ103" s="252"/>
      <c r="BK103" s="252"/>
      <c r="BL103" s="252"/>
      <c r="BM103" s="252"/>
      <c r="BN103" s="252"/>
      <c r="BO103" s="252"/>
      <c r="BP103" s="252"/>
      <c r="BQ103" s="252"/>
      <c r="BR103" s="252"/>
      <c r="BS103" s="252"/>
      <c r="BT103" s="252"/>
      <c r="BU103" s="252"/>
      <c r="BV103" s="252"/>
      <c r="BW103" s="252"/>
      <c r="BX103" s="252"/>
      <c r="BY103" s="252"/>
      <c r="BZ103" s="252"/>
      <c r="CA103" s="252"/>
      <c r="CB103" s="252"/>
      <c r="CC103" s="252"/>
      <c r="CD103" s="252"/>
      <c r="CE103" s="252"/>
      <c r="CF103" s="252"/>
      <c r="CG103" s="252"/>
      <c r="CH103" s="252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 s="130"/>
    </row>
    <row r="104" spans="1:115" s="3" customFormat="1" ht="15.5" customHeight="1" x14ac:dyDescent="0.35">
      <c r="A104" s="275"/>
      <c r="B104" s="255"/>
      <c r="C104" s="113" t="s">
        <v>190</v>
      </c>
      <c r="D104" s="19"/>
      <c r="E104" s="20"/>
      <c r="F104" s="16"/>
      <c r="G104" s="12"/>
      <c r="H104" s="128"/>
      <c r="I104" s="251"/>
      <c r="J104" s="252"/>
      <c r="K104" s="252"/>
      <c r="L104" s="252"/>
      <c r="M104" s="252"/>
      <c r="N104" s="252"/>
      <c r="O104" s="252"/>
      <c r="P104" s="252"/>
      <c r="Q104" s="252"/>
      <c r="R104" s="252"/>
      <c r="S104" s="252"/>
      <c r="T104" s="252"/>
      <c r="U104" s="252"/>
      <c r="V104" s="252"/>
      <c r="W104" s="252"/>
      <c r="X104" s="252"/>
      <c r="Y104" s="252"/>
      <c r="Z104" s="252"/>
      <c r="AA104" s="252"/>
      <c r="AB104" s="252"/>
      <c r="AC104" s="252"/>
      <c r="AD104" s="252"/>
      <c r="AE104" s="252"/>
      <c r="AF104" s="252"/>
      <c r="AG104" s="252"/>
      <c r="AH104" s="252"/>
      <c r="AI104" s="252"/>
      <c r="AJ104" s="252"/>
      <c r="AK104" s="252"/>
      <c r="AL104" s="252"/>
      <c r="AM104" s="252"/>
      <c r="AN104" s="252"/>
      <c r="AO104" s="252"/>
      <c r="AP104" s="252"/>
      <c r="AQ104" s="252"/>
      <c r="AR104" s="252"/>
      <c r="AS104" s="252"/>
      <c r="AT104" s="252"/>
      <c r="AU104" s="252"/>
      <c r="AV104" s="252"/>
      <c r="AW104" s="252"/>
      <c r="AX104" s="252"/>
      <c r="AY104" s="252"/>
      <c r="AZ104" s="252"/>
      <c r="BA104" s="252"/>
      <c r="BB104" s="252"/>
      <c r="BC104" s="252"/>
      <c r="BD104" s="252"/>
      <c r="BE104" s="252"/>
      <c r="BF104" s="252"/>
      <c r="BG104" s="252"/>
      <c r="BH104" s="252"/>
      <c r="BI104" s="252"/>
      <c r="BJ104" s="252"/>
      <c r="BK104" s="252"/>
      <c r="BL104" s="252"/>
      <c r="BM104" s="252"/>
      <c r="BN104" s="252"/>
      <c r="BO104" s="252"/>
      <c r="BP104" s="252"/>
      <c r="BQ104" s="252"/>
      <c r="BR104" s="252"/>
      <c r="BS104" s="252"/>
      <c r="BT104" s="252"/>
      <c r="BU104" s="252"/>
      <c r="BV104" s="252"/>
      <c r="BW104" s="252"/>
      <c r="BX104" s="252"/>
      <c r="BY104" s="252"/>
      <c r="BZ104" s="252"/>
      <c r="CA104" s="252"/>
      <c r="CB104" s="252"/>
      <c r="CC104" s="252"/>
      <c r="CD104" s="252"/>
      <c r="CE104" s="252"/>
      <c r="CF104" s="252"/>
      <c r="CG104" s="252"/>
      <c r="CH104" s="252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 s="130"/>
    </row>
    <row r="105" spans="1:115" s="122" customFormat="1" ht="19" customHeight="1" x14ac:dyDescent="0.35">
      <c r="A105" s="273" t="s">
        <v>200</v>
      </c>
      <c r="B105" s="156">
        <v>1</v>
      </c>
      <c r="C105" s="119" t="s">
        <v>200</v>
      </c>
      <c r="D105" s="123"/>
      <c r="E105" s="143"/>
      <c r="F105" s="121"/>
      <c r="G105" s="172">
        <v>46264</v>
      </c>
      <c r="H105" s="127"/>
      <c r="I105" s="251"/>
      <c r="J105" s="252"/>
      <c r="K105" s="252"/>
      <c r="L105" s="252"/>
      <c r="M105" s="252"/>
      <c r="N105" s="252"/>
      <c r="O105" s="252"/>
      <c r="P105" s="252"/>
      <c r="Q105" s="252"/>
      <c r="R105" s="252"/>
      <c r="S105" s="252"/>
      <c r="T105" s="252"/>
      <c r="U105" s="252"/>
      <c r="V105" s="252"/>
      <c r="W105" s="252"/>
      <c r="X105" s="252"/>
      <c r="Y105" s="252"/>
      <c r="Z105" s="252"/>
      <c r="AA105" s="252"/>
      <c r="AB105" s="252"/>
      <c r="AC105" s="252"/>
      <c r="AD105" s="252"/>
      <c r="AE105" s="252"/>
      <c r="AF105" s="252"/>
      <c r="AG105" s="252"/>
      <c r="AH105" s="252"/>
      <c r="AI105" s="252"/>
      <c r="AJ105" s="252"/>
      <c r="AK105" s="252"/>
      <c r="AL105" s="252"/>
      <c r="AM105" s="252"/>
      <c r="AN105" s="252"/>
      <c r="AO105" s="252"/>
      <c r="AP105" s="252"/>
      <c r="AQ105" s="252"/>
      <c r="AR105" s="252"/>
      <c r="AS105" s="252"/>
      <c r="AT105" s="252"/>
      <c r="AU105" s="252"/>
      <c r="AV105" s="252"/>
      <c r="AW105" s="252"/>
      <c r="AX105" s="252"/>
      <c r="AY105" s="252"/>
      <c r="AZ105" s="252"/>
      <c r="BA105" s="252"/>
      <c r="BB105" s="252"/>
      <c r="BC105" s="252"/>
      <c r="BD105" s="252"/>
      <c r="BE105" s="252"/>
      <c r="BF105" s="252"/>
      <c r="BG105" s="252"/>
      <c r="BH105" s="252"/>
      <c r="BI105" s="252"/>
      <c r="BJ105" s="252"/>
      <c r="BK105" s="252"/>
      <c r="BL105" s="252"/>
      <c r="BM105" s="252"/>
      <c r="BN105" s="252"/>
      <c r="BO105" s="252"/>
      <c r="BP105" s="252"/>
      <c r="BQ105" s="252"/>
      <c r="BR105" s="252"/>
      <c r="BS105" s="252"/>
      <c r="BT105" s="252"/>
      <c r="BU105" s="252"/>
      <c r="BV105" s="252"/>
      <c r="BW105" s="252"/>
      <c r="BX105" s="252"/>
      <c r="BY105" s="252"/>
      <c r="BZ105" s="252"/>
      <c r="CA105" s="252"/>
      <c r="CB105" s="252"/>
      <c r="CC105" s="252"/>
      <c r="CD105" s="252"/>
      <c r="CE105" s="252"/>
      <c r="CF105" s="252"/>
      <c r="CG105" s="252"/>
      <c r="CH105" s="252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</row>
    <row r="106" spans="1:115" s="105" customFormat="1" ht="13.5" customHeight="1" x14ac:dyDescent="0.35">
      <c r="A106" s="274"/>
      <c r="B106" s="258"/>
      <c r="C106" s="114" t="s">
        <v>201</v>
      </c>
      <c r="D106" s="135"/>
      <c r="E106" s="115"/>
      <c r="F106" s="103"/>
      <c r="G106" s="104"/>
      <c r="H106" s="129" t="s">
        <v>209</v>
      </c>
      <c r="I106" s="251"/>
      <c r="J106" s="252"/>
      <c r="K106" s="252"/>
      <c r="L106" s="252"/>
      <c r="M106" s="252"/>
      <c r="N106" s="252"/>
      <c r="O106" s="252"/>
      <c r="P106" s="252"/>
      <c r="Q106" s="252"/>
      <c r="R106" s="252"/>
      <c r="S106" s="252"/>
      <c r="T106" s="252"/>
      <c r="U106" s="252"/>
      <c r="V106" s="252"/>
      <c r="W106" s="252"/>
      <c r="X106" s="252"/>
      <c r="Y106" s="252"/>
      <c r="Z106" s="252"/>
      <c r="AA106" s="252"/>
      <c r="AB106" s="252"/>
      <c r="AC106" s="252"/>
      <c r="AD106" s="252"/>
      <c r="AE106" s="252"/>
      <c r="AF106" s="252"/>
      <c r="AG106" s="252"/>
      <c r="AH106" s="252"/>
      <c r="AI106" s="252"/>
      <c r="AJ106" s="252"/>
      <c r="AK106" s="252"/>
      <c r="AL106" s="252"/>
      <c r="AM106" s="252"/>
      <c r="AN106" s="252"/>
      <c r="AO106" s="252"/>
      <c r="AP106" s="252"/>
      <c r="AQ106" s="252"/>
      <c r="AR106" s="252"/>
      <c r="AS106" s="252"/>
      <c r="AT106" s="252"/>
      <c r="AU106" s="252"/>
      <c r="AV106" s="252"/>
      <c r="AW106" s="252"/>
      <c r="AX106" s="252"/>
      <c r="AY106" s="252"/>
      <c r="AZ106" s="252"/>
      <c r="BA106" s="252"/>
      <c r="BB106" s="252"/>
      <c r="BC106" s="252"/>
      <c r="BD106" s="252"/>
      <c r="BE106" s="252"/>
      <c r="BF106" s="252"/>
      <c r="BG106" s="252"/>
      <c r="BH106" s="252"/>
      <c r="BI106" s="252"/>
      <c r="BJ106" s="252"/>
      <c r="BK106" s="252"/>
      <c r="BL106" s="252"/>
      <c r="BM106" s="252"/>
      <c r="BN106" s="252"/>
      <c r="BO106" s="252"/>
      <c r="BP106" s="252"/>
      <c r="BQ106" s="252"/>
      <c r="BR106" s="252"/>
      <c r="BS106" s="252"/>
      <c r="BT106" s="252"/>
      <c r="BU106" s="252"/>
      <c r="BV106" s="252"/>
      <c r="BW106" s="252"/>
      <c r="BX106" s="252"/>
      <c r="BY106" s="252"/>
      <c r="BZ106" s="252"/>
      <c r="CA106" s="252"/>
      <c r="CB106" s="252"/>
      <c r="CC106" s="252"/>
      <c r="CD106" s="252"/>
      <c r="CE106" s="252"/>
      <c r="CF106" s="252"/>
      <c r="CG106" s="252"/>
      <c r="CH106" s="252"/>
    </row>
    <row r="107" spans="1:115" s="189" customFormat="1" ht="15.5" customHeight="1" x14ac:dyDescent="0.35">
      <c r="A107" s="274"/>
      <c r="B107" s="262"/>
      <c r="C107" s="193" t="s">
        <v>210</v>
      </c>
      <c r="D107" s="195"/>
      <c r="E107" s="196"/>
      <c r="F107" s="185"/>
      <c r="G107" s="183"/>
      <c r="H107" s="184" t="s">
        <v>173</v>
      </c>
      <c r="I107" s="251"/>
      <c r="J107" s="252"/>
      <c r="K107" s="252"/>
      <c r="L107" s="252"/>
      <c r="M107" s="252"/>
      <c r="N107" s="252"/>
      <c r="O107" s="252"/>
      <c r="P107" s="252"/>
      <c r="Q107" s="252"/>
      <c r="R107" s="252"/>
      <c r="S107" s="252"/>
      <c r="T107" s="252"/>
      <c r="U107" s="252"/>
      <c r="V107" s="252"/>
      <c r="W107" s="252"/>
      <c r="X107" s="252"/>
      <c r="Y107" s="252"/>
      <c r="Z107" s="252"/>
      <c r="AA107" s="252"/>
      <c r="AB107" s="252"/>
      <c r="AC107" s="252"/>
      <c r="AD107" s="252"/>
      <c r="AE107" s="252"/>
      <c r="AF107" s="252"/>
      <c r="AG107" s="252"/>
      <c r="AH107" s="252"/>
      <c r="AI107" s="252"/>
      <c r="AJ107" s="252"/>
      <c r="AK107" s="252"/>
      <c r="AL107" s="252"/>
      <c r="AM107" s="252"/>
      <c r="AN107" s="252"/>
      <c r="AO107" s="252"/>
      <c r="AP107" s="252"/>
      <c r="AQ107" s="252"/>
      <c r="AR107" s="252"/>
      <c r="AS107" s="252"/>
      <c r="AT107" s="252"/>
      <c r="AU107" s="252"/>
      <c r="AV107" s="252"/>
      <c r="AW107" s="252"/>
      <c r="AX107" s="252"/>
      <c r="AY107" s="252"/>
      <c r="AZ107" s="252"/>
      <c r="BA107" s="252"/>
      <c r="BB107" s="252"/>
      <c r="BC107" s="252"/>
      <c r="BD107" s="252"/>
      <c r="BE107" s="252"/>
      <c r="BF107" s="252"/>
      <c r="BG107" s="252"/>
      <c r="BH107" s="252"/>
      <c r="BI107" s="252"/>
      <c r="BJ107" s="252"/>
      <c r="BK107" s="252"/>
      <c r="BL107" s="252"/>
      <c r="BM107" s="252"/>
      <c r="BN107" s="252"/>
      <c r="BO107" s="252"/>
      <c r="BP107" s="252"/>
      <c r="BQ107" s="252"/>
      <c r="BR107" s="252"/>
      <c r="BS107" s="252"/>
      <c r="BT107" s="252"/>
      <c r="BU107" s="252"/>
      <c r="BV107" s="252"/>
      <c r="BW107" s="252"/>
      <c r="BX107" s="252"/>
      <c r="BY107" s="252"/>
      <c r="BZ107" s="252"/>
      <c r="CA107" s="252"/>
      <c r="CB107" s="252"/>
      <c r="CC107" s="252"/>
      <c r="CD107" s="252"/>
      <c r="CE107" s="252"/>
      <c r="CF107" s="252"/>
      <c r="CG107" s="252"/>
      <c r="CH107" s="252"/>
    </row>
    <row r="108" spans="1:115" ht="13.5" customHeight="1" x14ac:dyDescent="0.35">
      <c r="A108" s="274"/>
      <c r="B108" s="255"/>
      <c r="C108" s="113" t="s">
        <v>202</v>
      </c>
      <c r="D108" s="22"/>
      <c r="E108" s="108"/>
      <c r="F108" s="3"/>
      <c r="G108" s="12"/>
      <c r="H108" s="128"/>
    </row>
    <row r="109" spans="1:115" ht="13.5" customHeight="1" x14ac:dyDescent="0.35">
      <c r="A109" s="274"/>
      <c r="B109" s="255"/>
      <c r="C109" s="113" t="s">
        <v>203</v>
      </c>
      <c r="D109" s="22"/>
      <c r="E109" s="108"/>
      <c r="F109" s="3"/>
      <c r="G109" s="12"/>
      <c r="H109" s="128"/>
    </row>
    <row r="110" spans="1:115" ht="13.5" customHeight="1" x14ac:dyDescent="0.35">
      <c r="A110" s="275"/>
      <c r="B110" s="255"/>
      <c r="C110" s="113" t="s">
        <v>204</v>
      </c>
      <c r="D110" s="22"/>
      <c r="E110" s="108"/>
      <c r="F110" s="3"/>
      <c r="G110" s="12"/>
      <c r="H110" s="128"/>
    </row>
    <row r="111" spans="1:115" s="122" customFormat="1" ht="19" customHeight="1" x14ac:dyDescent="0.35">
      <c r="A111" s="273" t="s">
        <v>317</v>
      </c>
      <c r="B111" s="156">
        <v>1</v>
      </c>
      <c r="C111" s="119" t="s">
        <v>310</v>
      </c>
      <c r="D111" s="119"/>
      <c r="E111" s="126"/>
      <c r="F111" s="120"/>
      <c r="G111" s="172">
        <v>46264</v>
      </c>
      <c r="H111" s="127"/>
      <c r="I111" s="251"/>
      <c r="J111" s="252"/>
      <c r="K111" s="252"/>
      <c r="L111" s="252"/>
      <c r="M111" s="252"/>
      <c r="N111" s="252"/>
      <c r="O111" s="252"/>
      <c r="P111" s="252"/>
      <c r="Q111" s="252"/>
      <c r="R111" s="252"/>
      <c r="S111" s="252"/>
      <c r="T111" s="252"/>
      <c r="U111" s="252"/>
      <c r="V111" s="252"/>
      <c r="W111" s="252"/>
      <c r="X111" s="252"/>
      <c r="Y111" s="252"/>
      <c r="Z111" s="252"/>
      <c r="AA111" s="252"/>
      <c r="AB111" s="252"/>
      <c r="AC111" s="252"/>
      <c r="AD111" s="252"/>
      <c r="AE111" s="252"/>
      <c r="AF111" s="252"/>
      <c r="AG111" s="252"/>
      <c r="AH111" s="252"/>
      <c r="AI111" s="252"/>
      <c r="AJ111" s="252"/>
      <c r="AK111" s="252"/>
      <c r="AL111" s="252"/>
      <c r="AM111" s="252"/>
      <c r="AN111" s="252"/>
      <c r="AO111" s="252"/>
      <c r="AP111" s="252"/>
      <c r="AQ111" s="252"/>
      <c r="AR111" s="252"/>
      <c r="AS111" s="252"/>
      <c r="AT111" s="252"/>
      <c r="AU111" s="252"/>
      <c r="AV111" s="252"/>
      <c r="AW111" s="252"/>
      <c r="AX111" s="252"/>
      <c r="AY111" s="252"/>
      <c r="AZ111" s="252"/>
      <c r="BA111" s="252"/>
      <c r="BB111" s="252"/>
      <c r="BC111" s="252"/>
      <c r="BD111" s="252"/>
      <c r="BE111" s="252"/>
      <c r="BF111" s="252"/>
      <c r="BG111" s="252"/>
      <c r="BH111" s="252"/>
      <c r="BI111" s="252"/>
      <c r="BJ111" s="252"/>
      <c r="BK111" s="252"/>
      <c r="BL111" s="252"/>
      <c r="BM111" s="252"/>
      <c r="BN111" s="252"/>
      <c r="BO111" s="252"/>
      <c r="BP111" s="252"/>
      <c r="BQ111" s="252"/>
      <c r="BR111" s="252"/>
      <c r="BS111" s="252"/>
      <c r="BT111" s="252"/>
      <c r="BU111" s="252"/>
      <c r="BV111" s="252"/>
      <c r="BW111" s="252"/>
      <c r="BX111" s="252"/>
      <c r="BY111" s="252"/>
      <c r="BZ111" s="252"/>
      <c r="CA111" s="252"/>
      <c r="CB111" s="252"/>
      <c r="CC111" s="252"/>
      <c r="CD111" s="252"/>
      <c r="CE111" s="252"/>
      <c r="CF111" s="252"/>
      <c r="CG111" s="252"/>
      <c r="CH111" s="252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</row>
    <row r="112" spans="1:115" ht="17.5" customHeight="1" x14ac:dyDescent="0.35">
      <c r="A112" s="274"/>
      <c r="B112" s="255"/>
      <c r="C112" s="111" t="s">
        <v>266</v>
      </c>
      <c r="D112" s="107"/>
      <c r="E112" s="107"/>
      <c r="F112" s="18"/>
      <c r="G112" s="12"/>
      <c r="H112" s="128"/>
    </row>
    <row r="113" spans="1:114" ht="17.5" customHeight="1" x14ac:dyDescent="0.35">
      <c r="A113" s="274"/>
      <c r="B113" s="255"/>
      <c r="C113" s="111" t="s">
        <v>267</v>
      </c>
      <c r="D113" s="107"/>
      <c r="E113" s="107"/>
      <c r="F113" s="18"/>
      <c r="G113" s="12"/>
      <c r="H113" s="128"/>
    </row>
    <row r="114" spans="1:114" ht="17.5" customHeight="1" x14ac:dyDescent="0.35">
      <c r="A114" s="274"/>
      <c r="B114" s="255"/>
      <c r="C114" s="111" t="s">
        <v>268</v>
      </c>
      <c r="D114" s="107"/>
      <c r="E114" s="107"/>
      <c r="F114" s="18"/>
      <c r="G114" s="12"/>
      <c r="H114" s="128"/>
    </row>
    <row r="115" spans="1:114" ht="17.5" customHeight="1" x14ac:dyDescent="0.35">
      <c r="A115" s="274"/>
      <c r="B115" s="255"/>
      <c r="C115" s="111" t="s">
        <v>82</v>
      </c>
      <c r="D115" s="107"/>
      <c r="E115" s="107"/>
      <c r="F115" s="18"/>
      <c r="G115" s="12"/>
      <c r="H115" s="128"/>
    </row>
    <row r="116" spans="1:114" ht="17.5" customHeight="1" x14ac:dyDescent="0.35">
      <c r="A116" s="274"/>
      <c r="B116" s="255"/>
      <c r="C116" s="113" t="s">
        <v>269</v>
      </c>
      <c r="D116" s="107"/>
      <c r="E116" s="107"/>
      <c r="F116" s="18"/>
      <c r="G116" s="12"/>
      <c r="H116" s="128"/>
    </row>
    <row r="117" spans="1:114" ht="17.5" customHeight="1" x14ac:dyDescent="0.35">
      <c r="A117" s="274"/>
      <c r="B117" s="255"/>
      <c r="C117" s="113" t="s">
        <v>194</v>
      </c>
      <c r="D117" s="107"/>
      <c r="E117" s="107"/>
      <c r="F117" s="18"/>
      <c r="G117" s="12"/>
      <c r="H117" s="128"/>
    </row>
    <row r="118" spans="1:114" ht="15.5" customHeight="1" x14ac:dyDescent="0.35">
      <c r="A118" s="274"/>
      <c r="B118" s="255"/>
      <c r="C118" s="113" t="s">
        <v>89</v>
      </c>
      <c r="D118" s="107"/>
      <c r="E118" s="107"/>
      <c r="F118" s="18"/>
      <c r="G118" s="12"/>
      <c r="H118" s="128"/>
    </row>
    <row r="119" spans="1:114" ht="18.5" customHeight="1" x14ac:dyDescent="0.35">
      <c r="A119" s="275"/>
      <c r="B119" s="255"/>
      <c r="C119" s="113" t="s">
        <v>223</v>
      </c>
      <c r="D119" s="107"/>
      <c r="E119" s="107"/>
      <c r="F119" s="18"/>
      <c r="G119" s="12"/>
      <c r="H119" s="128"/>
    </row>
    <row r="120" spans="1:114" s="122" customFormat="1" ht="22" customHeight="1" x14ac:dyDescent="0.35">
      <c r="A120" s="273" t="s">
        <v>315</v>
      </c>
      <c r="B120" s="156">
        <v>1</v>
      </c>
      <c r="C120" s="119" t="s">
        <v>312</v>
      </c>
      <c r="D120" s="124"/>
      <c r="E120" s="145"/>
      <c r="F120" s="125"/>
      <c r="G120" s="172">
        <v>46264</v>
      </c>
      <c r="H120" s="127"/>
      <c r="I120" s="251"/>
      <c r="J120" s="252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/>
      <c r="AA120" s="252"/>
      <c r="AB120" s="252"/>
      <c r="AC120" s="252"/>
      <c r="AD120" s="252"/>
      <c r="AE120" s="252"/>
      <c r="AF120" s="252"/>
      <c r="AG120" s="252"/>
      <c r="AH120" s="252"/>
      <c r="AI120" s="252"/>
      <c r="AJ120" s="252"/>
      <c r="AK120" s="252"/>
      <c r="AL120" s="252"/>
      <c r="AM120" s="252"/>
      <c r="AN120" s="252"/>
      <c r="AO120" s="252"/>
      <c r="AP120" s="252"/>
      <c r="AQ120" s="252"/>
      <c r="AR120" s="252"/>
      <c r="AS120" s="252"/>
      <c r="AT120" s="252"/>
      <c r="AU120" s="252"/>
      <c r="AV120" s="252"/>
      <c r="AW120" s="252"/>
      <c r="AX120" s="252"/>
      <c r="AY120" s="252"/>
      <c r="AZ120" s="252"/>
      <c r="BA120" s="252"/>
      <c r="BB120" s="252"/>
      <c r="BC120" s="252"/>
      <c r="BD120" s="252"/>
      <c r="BE120" s="252"/>
      <c r="BF120" s="252"/>
      <c r="BG120" s="252"/>
      <c r="BH120" s="252"/>
      <c r="BI120" s="252"/>
      <c r="BJ120" s="252"/>
      <c r="BK120" s="252"/>
      <c r="BL120" s="252"/>
      <c r="BM120" s="252"/>
      <c r="BN120" s="252"/>
      <c r="BO120" s="252"/>
      <c r="BP120" s="252"/>
      <c r="BQ120" s="252"/>
      <c r="BR120" s="252"/>
      <c r="BS120" s="252"/>
      <c r="BT120" s="252"/>
      <c r="BU120" s="252"/>
      <c r="BV120" s="252"/>
      <c r="BW120" s="252"/>
      <c r="BX120" s="252"/>
      <c r="BY120" s="252"/>
      <c r="BZ120" s="252"/>
      <c r="CA120" s="252"/>
      <c r="CB120" s="252"/>
      <c r="CC120" s="252"/>
      <c r="CD120" s="252"/>
      <c r="CE120" s="252"/>
      <c r="CF120" s="252"/>
      <c r="CG120" s="252"/>
      <c r="CH120" s="252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</row>
    <row r="121" spans="1:114" s="189" customFormat="1" ht="15.5" customHeight="1" x14ac:dyDescent="0.35">
      <c r="A121" s="274"/>
      <c r="B121" s="262"/>
      <c r="C121" s="187" t="s">
        <v>83</v>
      </c>
      <c r="D121" s="197"/>
      <c r="E121" s="197"/>
      <c r="F121" s="185"/>
      <c r="G121" s="183"/>
      <c r="H121" s="184" t="s">
        <v>173</v>
      </c>
      <c r="I121" s="251"/>
      <c r="J121" s="252"/>
      <c r="K121" s="252"/>
      <c r="L121" s="252"/>
      <c r="M121" s="252"/>
      <c r="N121" s="252"/>
      <c r="O121" s="252"/>
      <c r="P121" s="252"/>
      <c r="Q121" s="252"/>
      <c r="R121" s="252"/>
      <c r="S121" s="252"/>
      <c r="T121" s="252"/>
      <c r="U121" s="252"/>
      <c r="V121" s="252"/>
      <c r="W121" s="252"/>
      <c r="X121" s="252"/>
      <c r="Y121" s="252"/>
      <c r="Z121" s="252"/>
      <c r="AA121" s="252"/>
      <c r="AB121" s="252"/>
      <c r="AC121" s="252"/>
      <c r="AD121" s="252"/>
      <c r="AE121" s="252"/>
      <c r="AF121" s="252"/>
      <c r="AG121" s="252"/>
      <c r="AH121" s="252"/>
      <c r="AI121" s="252"/>
      <c r="AJ121" s="252"/>
      <c r="AK121" s="252"/>
      <c r="AL121" s="252"/>
      <c r="AM121" s="252"/>
      <c r="AN121" s="252"/>
      <c r="AO121" s="252"/>
      <c r="AP121" s="252"/>
      <c r="AQ121" s="252"/>
      <c r="AR121" s="252"/>
      <c r="AS121" s="252"/>
      <c r="AT121" s="252"/>
      <c r="AU121" s="252"/>
      <c r="AV121" s="252"/>
      <c r="AW121" s="252"/>
      <c r="AX121" s="252"/>
      <c r="AY121" s="252"/>
      <c r="AZ121" s="252"/>
      <c r="BA121" s="252"/>
      <c r="BB121" s="252"/>
      <c r="BC121" s="252"/>
      <c r="BD121" s="252"/>
      <c r="BE121" s="252"/>
      <c r="BF121" s="252"/>
      <c r="BG121" s="252"/>
      <c r="BH121" s="252"/>
      <c r="BI121" s="252"/>
      <c r="BJ121" s="252"/>
      <c r="BK121" s="252"/>
      <c r="BL121" s="252"/>
      <c r="BM121" s="252"/>
      <c r="BN121" s="252"/>
      <c r="BO121" s="252"/>
      <c r="BP121" s="252"/>
      <c r="BQ121" s="252"/>
      <c r="BR121" s="252"/>
      <c r="BS121" s="252"/>
      <c r="BT121" s="252"/>
      <c r="BU121" s="252"/>
      <c r="BV121" s="252"/>
      <c r="BW121" s="252"/>
      <c r="BX121" s="252"/>
      <c r="BY121" s="252"/>
      <c r="BZ121" s="252"/>
      <c r="CA121" s="252"/>
      <c r="CB121" s="252"/>
      <c r="CC121" s="252"/>
      <c r="CD121" s="252"/>
      <c r="CE121" s="252"/>
      <c r="CF121" s="252"/>
      <c r="CG121" s="252"/>
      <c r="CH121" s="252"/>
    </row>
    <row r="122" spans="1:114" ht="16.5" customHeight="1" x14ac:dyDescent="0.35">
      <c r="A122" s="274"/>
      <c r="B122" s="255"/>
      <c r="C122" s="111" t="s">
        <v>84</v>
      </c>
      <c r="D122" s="107"/>
      <c r="E122" s="107"/>
      <c r="F122" s="18"/>
      <c r="G122" s="12"/>
      <c r="H122" s="128"/>
    </row>
    <row r="123" spans="1:114" ht="15.5" customHeight="1" x14ac:dyDescent="0.35">
      <c r="A123" s="275"/>
      <c r="B123" s="255"/>
      <c r="C123" s="111" t="s">
        <v>85</v>
      </c>
      <c r="D123" s="21"/>
      <c r="E123" s="21"/>
      <c r="F123" s="17"/>
      <c r="G123" s="12"/>
      <c r="H123" s="128"/>
    </row>
    <row r="124" spans="1:114" s="122" customFormat="1" ht="19" customHeight="1" x14ac:dyDescent="0.35">
      <c r="A124" s="273" t="s">
        <v>313</v>
      </c>
      <c r="B124" s="156">
        <v>1</v>
      </c>
      <c r="C124" s="126" t="s">
        <v>313</v>
      </c>
      <c r="D124" s="126"/>
      <c r="E124" s="126"/>
      <c r="F124" s="121"/>
      <c r="G124" s="172">
        <v>46052</v>
      </c>
      <c r="H124" s="127"/>
      <c r="I124" s="251"/>
      <c r="J124" s="252"/>
      <c r="K124" s="252"/>
      <c r="L124" s="252"/>
      <c r="M124" s="252"/>
      <c r="N124" s="252"/>
      <c r="O124" s="252"/>
      <c r="P124" s="252"/>
      <c r="Q124" s="252"/>
      <c r="R124" s="252"/>
      <c r="S124" s="252"/>
      <c r="T124" s="252"/>
      <c r="U124" s="252"/>
      <c r="V124" s="252"/>
      <c r="W124" s="252"/>
      <c r="X124" s="252"/>
      <c r="Y124" s="252"/>
      <c r="Z124" s="252"/>
      <c r="AA124" s="252"/>
      <c r="AB124" s="252"/>
      <c r="AC124" s="252"/>
      <c r="AD124" s="252"/>
      <c r="AE124" s="252"/>
      <c r="AF124" s="252"/>
      <c r="AG124" s="252"/>
      <c r="AH124" s="252"/>
      <c r="AI124" s="252"/>
      <c r="AJ124" s="252"/>
      <c r="AK124" s="252"/>
      <c r="AL124" s="252"/>
      <c r="AM124" s="252"/>
      <c r="AN124" s="252"/>
      <c r="AO124" s="252"/>
      <c r="AP124" s="252"/>
      <c r="AQ124" s="252"/>
      <c r="AR124" s="252"/>
      <c r="AS124" s="252"/>
      <c r="AT124" s="252"/>
      <c r="AU124" s="252"/>
      <c r="AV124" s="252"/>
      <c r="AW124" s="252"/>
      <c r="AX124" s="252"/>
      <c r="AY124" s="252"/>
      <c r="AZ124" s="252"/>
      <c r="BA124" s="252"/>
      <c r="BB124" s="252"/>
      <c r="BC124" s="252"/>
      <c r="BD124" s="252"/>
      <c r="BE124" s="252"/>
      <c r="BF124" s="252"/>
      <c r="BG124" s="252"/>
      <c r="BH124" s="252"/>
      <c r="BI124" s="252"/>
      <c r="BJ124" s="252"/>
      <c r="BK124" s="252"/>
      <c r="BL124" s="252"/>
      <c r="BM124" s="252"/>
      <c r="BN124" s="252"/>
      <c r="BO124" s="252"/>
      <c r="BP124" s="252"/>
      <c r="BQ124" s="252"/>
      <c r="BR124" s="252"/>
      <c r="BS124" s="252"/>
      <c r="BT124" s="252"/>
      <c r="BU124" s="252"/>
      <c r="BV124" s="252"/>
      <c r="BW124" s="252"/>
      <c r="BX124" s="252"/>
      <c r="BY124" s="252"/>
      <c r="BZ124" s="252"/>
      <c r="CA124" s="252"/>
      <c r="CB124" s="252"/>
      <c r="CC124" s="252"/>
      <c r="CD124" s="252"/>
      <c r="CE124" s="252"/>
      <c r="CF124" s="252"/>
      <c r="CG124" s="252"/>
      <c r="CH124" s="252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</row>
    <row r="125" spans="1:114" ht="17" customHeight="1" x14ac:dyDescent="0.35">
      <c r="A125" s="274"/>
      <c r="B125" s="255"/>
      <c r="C125" s="111" t="s">
        <v>272</v>
      </c>
      <c r="D125" s="21"/>
      <c r="E125" s="21"/>
      <c r="F125" s="3"/>
      <c r="G125" s="12"/>
      <c r="H125" s="128"/>
    </row>
    <row r="126" spans="1:114" ht="15.5" customHeight="1" x14ac:dyDescent="0.35">
      <c r="A126" s="274"/>
      <c r="B126" s="255"/>
      <c r="C126" s="111" t="s">
        <v>239</v>
      </c>
      <c r="D126" s="21"/>
      <c r="E126" s="21"/>
      <c r="F126" s="3"/>
      <c r="G126" s="12"/>
      <c r="H126" s="128"/>
    </row>
    <row r="127" spans="1:114" ht="15.5" customHeight="1" x14ac:dyDescent="0.35">
      <c r="A127" s="274"/>
      <c r="B127" s="255"/>
      <c r="C127" s="111" t="s">
        <v>193</v>
      </c>
      <c r="D127" s="21"/>
      <c r="E127" s="21"/>
      <c r="F127" s="3"/>
      <c r="G127" s="12"/>
      <c r="H127" s="128"/>
    </row>
    <row r="128" spans="1:114" ht="15.5" customHeight="1" x14ac:dyDescent="0.35">
      <c r="A128" s="275"/>
      <c r="B128" s="255"/>
      <c r="C128" s="111" t="s">
        <v>91</v>
      </c>
      <c r="D128" s="21"/>
      <c r="E128" s="21"/>
      <c r="F128" s="3"/>
      <c r="G128" s="12"/>
      <c r="H128" s="128"/>
    </row>
    <row r="129" spans="1:87" ht="19" customHeight="1" x14ac:dyDescent="0.35">
      <c r="A129" s="273" t="s">
        <v>225</v>
      </c>
      <c r="B129" s="156">
        <v>1</v>
      </c>
      <c r="C129" s="126" t="s">
        <v>314</v>
      </c>
      <c r="D129" s="126"/>
      <c r="E129" s="126"/>
      <c r="F129" s="126"/>
      <c r="G129" s="172">
        <v>46295</v>
      </c>
      <c r="H129" s="127"/>
    </row>
    <row r="130" spans="1:87" s="3" customFormat="1" ht="15" customHeight="1" x14ac:dyDescent="0.35">
      <c r="A130" s="274"/>
      <c r="B130" s="255"/>
      <c r="C130" s="113" t="s">
        <v>227</v>
      </c>
      <c r="D130" s="22"/>
      <c r="E130" s="108"/>
      <c r="G130" s="12"/>
      <c r="H130" s="128"/>
      <c r="I130" s="251"/>
      <c r="J130" s="252"/>
      <c r="K130" s="252"/>
      <c r="L130" s="252"/>
      <c r="M130" s="252"/>
      <c r="N130" s="252"/>
      <c r="O130" s="252"/>
      <c r="P130" s="252"/>
      <c r="Q130" s="252"/>
      <c r="R130" s="252"/>
      <c r="S130" s="252"/>
      <c r="T130" s="252"/>
      <c r="U130" s="252"/>
      <c r="V130" s="252"/>
      <c r="W130" s="252"/>
      <c r="X130" s="252"/>
      <c r="Y130" s="252"/>
      <c r="Z130" s="252"/>
      <c r="AA130" s="252"/>
      <c r="AB130" s="252"/>
      <c r="AC130" s="252"/>
      <c r="AD130" s="252"/>
      <c r="AE130" s="252"/>
      <c r="AF130" s="252"/>
      <c r="AG130" s="252"/>
      <c r="AH130" s="252"/>
      <c r="AI130" s="252"/>
      <c r="AJ130" s="252"/>
      <c r="AK130" s="252"/>
      <c r="AL130" s="252"/>
      <c r="AM130" s="252"/>
      <c r="AN130" s="252"/>
      <c r="AO130" s="252"/>
      <c r="AP130" s="252"/>
      <c r="AQ130" s="252"/>
      <c r="AR130" s="252"/>
      <c r="AS130" s="252"/>
      <c r="AT130" s="252"/>
      <c r="AU130" s="252"/>
      <c r="AV130" s="252"/>
      <c r="AW130" s="252"/>
      <c r="AX130" s="252"/>
      <c r="AY130" s="252"/>
      <c r="AZ130" s="252"/>
      <c r="BA130" s="252"/>
      <c r="BB130" s="252"/>
      <c r="BC130" s="252"/>
      <c r="BD130" s="252"/>
      <c r="BE130" s="252"/>
      <c r="BF130" s="252"/>
      <c r="BG130" s="252"/>
      <c r="BH130" s="252"/>
      <c r="BI130" s="252"/>
      <c r="BJ130" s="252"/>
      <c r="BK130" s="252"/>
      <c r="BL130" s="252"/>
      <c r="BM130" s="252"/>
      <c r="BN130" s="252"/>
      <c r="BO130" s="252"/>
      <c r="BP130" s="252"/>
      <c r="BQ130" s="252"/>
      <c r="BR130" s="252"/>
      <c r="BS130" s="252"/>
      <c r="BT130" s="252"/>
      <c r="BU130" s="252"/>
      <c r="BV130" s="252"/>
      <c r="BW130" s="252"/>
      <c r="BX130" s="252"/>
      <c r="BY130" s="252"/>
      <c r="BZ130" s="252"/>
      <c r="CA130" s="252"/>
      <c r="CB130" s="252"/>
      <c r="CC130" s="252"/>
      <c r="CD130" s="252"/>
      <c r="CE130" s="252"/>
      <c r="CF130" s="252"/>
      <c r="CG130" s="252"/>
      <c r="CH130" s="252"/>
      <c r="CI130" s="130"/>
    </row>
    <row r="131" spans="1:87" s="3" customFormat="1" ht="15" customHeight="1" x14ac:dyDescent="0.35">
      <c r="A131" s="274"/>
      <c r="B131" s="255"/>
      <c r="C131" s="113" t="s">
        <v>226</v>
      </c>
      <c r="D131" s="22"/>
      <c r="E131" s="108"/>
      <c r="G131" s="12"/>
      <c r="H131" s="128"/>
      <c r="I131" s="251"/>
      <c r="J131" s="252"/>
      <c r="K131" s="252"/>
      <c r="L131" s="252"/>
      <c r="M131" s="252"/>
      <c r="N131" s="252"/>
      <c r="O131" s="252"/>
      <c r="P131" s="252"/>
      <c r="Q131" s="252"/>
      <c r="R131" s="252"/>
      <c r="S131" s="252"/>
      <c r="T131" s="252"/>
      <c r="U131" s="252"/>
      <c r="V131" s="252"/>
      <c r="W131" s="252"/>
      <c r="X131" s="252"/>
      <c r="Y131" s="252"/>
      <c r="Z131" s="252"/>
      <c r="AA131" s="252"/>
      <c r="AB131" s="252"/>
      <c r="AC131" s="252"/>
      <c r="AD131" s="252"/>
      <c r="AE131" s="252"/>
      <c r="AF131" s="252"/>
      <c r="AG131" s="252"/>
      <c r="AH131" s="252"/>
      <c r="AI131" s="252"/>
      <c r="AJ131" s="252"/>
      <c r="AK131" s="252"/>
      <c r="AL131" s="252"/>
      <c r="AM131" s="252"/>
      <c r="AN131" s="252"/>
      <c r="AO131" s="252"/>
      <c r="AP131" s="252"/>
      <c r="AQ131" s="252"/>
      <c r="AR131" s="252"/>
      <c r="AS131" s="252"/>
      <c r="AT131" s="252"/>
      <c r="AU131" s="252"/>
      <c r="AV131" s="252"/>
      <c r="AW131" s="252"/>
      <c r="AX131" s="252"/>
      <c r="AY131" s="252"/>
      <c r="AZ131" s="252"/>
      <c r="BA131" s="252"/>
      <c r="BB131" s="252"/>
      <c r="BC131" s="252"/>
      <c r="BD131" s="252"/>
      <c r="BE131" s="252"/>
      <c r="BF131" s="252"/>
      <c r="BG131" s="252"/>
      <c r="BH131" s="252"/>
      <c r="BI131" s="252"/>
      <c r="BJ131" s="252"/>
      <c r="BK131" s="252"/>
      <c r="BL131" s="252"/>
      <c r="BM131" s="252"/>
      <c r="BN131" s="252"/>
      <c r="BO131" s="252"/>
      <c r="BP131" s="252"/>
      <c r="BQ131" s="252"/>
      <c r="BR131" s="252"/>
      <c r="BS131" s="252"/>
      <c r="BT131" s="252"/>
      <c r="BU131" s="252"/>
      <c r="BV131" s="252"/>
      <c r="BW131" s="252"/>
      <c r="BX131" s="252"/>
      <c r="BY131" s="252"/>
      <c r="BZ131" s="252"/>
      <c r="CA131" s="252"/>
      <c r="CB131" s="252"/>
      <c r="CC131" s="252"/>
      <c r="CD131" s="252"/>
      <c r="CE131" s="252"/>
      <c r="CF131" s="252"/>
      <c r="CG131" s="252"/>
      <c r="CH131" s="252"/>
      <c r="CI131" s="130"/>
    </row>
    <row r="132" spans="1:87" ht="15" customHeight="1" x14ac:dyDescent="0.35">
      <c r="A132" s="275"/>
      <c r="B132" s="255"/>
      <c r="C132" s="113" t="s">
        <v>291</v>
      </c>
      <c r="D132" s="22"/>
      <c r="E132" s="108"/>
      <c r="F132" s="3"/>
      <c r="G132" s="12"/>
      <c r="H132" s="128"/>
    </row>
    <row r="133" spans="1:87" ht="23" customHeight="1" x14ac:dyDescent="0.35">
      <c r="A133" s="276" t="s">
        <v>234</v>
      </c>
      <c r="B133" s="267">
        <v>1</v>
      </c>
      <c r="C133" s="157" t="s">
        <v>234</v>
      </c>
      <c r="D133" s="158"/>
      <c r="E133" s="159"/>
      <c r="F133" s="160"/>
      <c r="G133" s="254">
        <v>46356</v>
      </c>
      <c r="H133" s="161"/>
    </row>
    <row r="134" spans="1:87" s="3" customFormat="1" ht="15" customHeight="1" x14ac:dyDescent="0.35">
      <c r="A134" s="277"/>
      <c r="B134" s="255"/>
      <c r="C134" s="113" t="s">
        <v>290</v>
      </c>
      <c r="D134" s="22"/>
      <c r="E134" s="108"/>
      <c r="G134" s="12"/>
      <c r="H134" s="128"/>
      <c r="I134" s="251"/>
      <c r="J134" s="252"/>
      <c r="K134" s="252"/>
      <c r="L134" s="252"/>
      <c r="M134" s="252"/>
      <c r="N134" s="252"/>
      <c r="O134" s="252"/>
      <c r="P134" s="252"/>
      <c r="Q134" s="252"/>
      <c r="R134" s="252"/>
      <c r="S134" s="252"/>
      <c r="T134" s="252"/>
      <c r="U134" s="252"/>
      <c r="V134" s="252"/>
      <c r="W134" s="252"/>
      <c r="X134" s="252"/>
      <c r="Y134" s="252"/>
      <c r="Z134" s="252"/>
      <c r="AA134" s="252"/>
      <c r="AB134" s="252"/>
      <c r="AC134" s="252"/>
      <c r="AD134" s="252"/>
      <c r="AE134" s="252"/>
      <c r="AF134" s="252"/>
      <c r="AG134" s="252"/>
      <c r="AH134" s="252"/>
      <c r="AI134" s="252"/>
      <c r="AJ134" s="252"/>
      <c r="AK134" s="252"/>
      <c r="AL134" s="252"/>
      <c r="AM134" s="252"/>
      <c r="AN134" s="252"/>
      <c r="AO134" s="252"/>
      <c r="AP134" s="252"/>
      <c r="AQ134" s="252"/>
      <c r="AR134" s="252"/>
      <c r="AS134" s="252"/>
      <c r="AT134" s="252"/>
      <c r="AU134" s="252"/>
      <c r="AV134" s="252"/>
      <c r="AW134" s="252"/>
      <c r="AX134" s="252"/>
      <c r="AY134" s="252"/>
      <c r="AZ134" s="252"/>
      <c r="BA134" s="252"/>
      <c r="BB134" s="252"/>
      <c r="BC134" s="252"/>
      <c r="BD134" s="252"/>
      <c r="BE134" s="252"/>
      <c r="BF134" s="252"/>
      <c r="BG134" s="252"/>
      <c r="BH134" s="252"/>
      <c r="BI134" s="252"/>
      <c r="BJ134" s="252"/>
      <c r="BK134" s="252"/>
      <c r="BL134" s="252"/>
      <c r="BM134" s="252"/>
      <c r="BN134" s="252"/>
      <c r="BO134" s="252"/>
      <c r="BP134" s="252"/>
      <c r="BQ134" s="252"/>
      <c r="BR134" s="252"/>
      <c r="BS134" s="252"/>
      <c r="BT134" s="252"/>
      <c r="BU134" s="252"/>
      <c r="BV134" s="252"/>
      <c r="BW134" s="252"/>
      <c r="BX134" s="252"/>
      <c r="BY134" s="252"/>
      <c r="BZ134" s="252"/>
      <c r="CA134" s="252"/>
      <c r="CB134" s="252"/>
      <c r="CC134" s="252"/>
      <c r="CD134" s="252"/>
      <c r="CE134" s="252"/>
      <c r="CF134" s="252"/>
      <c r="CG134" s="252"/>
      <c r="CH134" s="252"/>
      <c r="CI134" s="130"/>
    </row>
    <row r="135" spans="1:87" ht="48" customHeight="1" x14ac:dyDescent="0.35">
      <c r="A135" s="278"/>
      <c r="B135" s="255"/>
      <c r="C135" s="113" t="s">
        <v>264</v>
      </c>
      <c r="D135" s="162" t="s">
        <v>233</v>
      </c>
      <c r="E135" s="108" t="s">
        <v>271</v>
      </c>
      <c r="F135" s="3"/>
      <c r="G135" s="12"/>
      <c r="H135" s="128"/>
    </row>
  </sheetData>
  <mergeCells count="10">
    <mergeCell ref="A111:A119"/>
    <mergeCell ref="A120:A123"/>
    <mergeCell ref="A124:A128"/>
    <mergeCell ref="A129:A132"/>
    <mergeCell ref="A133:A135"/>
    <mergeCell ref="A2:A82"/>
    <mergeCell ref="A83:A87"/>
    <mergeCell ref="A88:A93"/>
    <mergeCell ref="A94:A104"/>
    <mergeCell ref="A105:A110"/>
  </mergeCells>
  <phoneticPr fontId="6" type="noConversion"/>
  <pageMargins left="0.70866141732283472" right="0.70866141732283472" top="0.74803149606299213" bottom="0.74803149606299213" header="0.31496062992125984" footer="0.31496062992125984"/>
  <pageSetup scale="46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D9A5-2B0B-4963-B734-DE354BA70824}">
  <dimension ref="F5:J8"/>
  <sheetViews>
    <sheetView workbookViewId="0">
      <selection activeCell="L17" sqref="L17"/>
    </sheetView>
  </sheetViews>
  <sheetFormatPr defaultRowHeight="14.5" x14ac:dyDescent="0.35"/>
  <cols>
    <col min="6" max="6" width="8.81640625" customWidth="1"/>
    <col min="7" max="7" width="10.26953125" customWidth="1"/>
    <col min="8" max="8" width="6.90625" customWidth="1"/>
    <col min="9" max="9" width="21.453125" customWidth="1"/>
    <col min="10" max="10" width="15.81640625" style="1" customWidth="1"/>
  </cols>
  <sheetData>
    <row r="5" spans="6:10" x14ac:dyDescent="0.35">
      <c r="F5" t="s">
        <v>218</v>
      </c>
    </row>
    <row r="6" spans="6:10" x14ac:dyDescent="0.35">
      <c r="F6" t="s">
        <v>216</v>
      </c>
      <c r="G6" t="s">
        <v>217</v>
      </c>
      <c r="H6">
        <v>24000</v>
      </c>
      <c r="I6" t="s">
        <v>219</v>
      </c>
      <c r="J6" s="1" t="s">
        <v>220</v>
      </c>
    </row>
    <row r="8" spans="6:10" x14ac:dyDescent="0.35">
      <c r="H8" t="s">
        <v>221</v>
      </c>
      <c r="I8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BAFB-E51A-43FD-A1FF-D0A6FBE14623}">
  <dimension ref="E2:E17"/>
  <sheetViews>
    <sheetView zoomScale="85" zoomScaleNormal="85" workbookViewId="0">
      <selection activeCell="E21" sqref="E21"/>
    </sheetView>
  </sheetViews>
  <sheetFormatPr defaultRowHeight="14.5" x14ac:dyDescent="0.35"/>
  <cols>
    <col min="1" max="1" width="3" customWidth="1"/>
    <col min="2" max="3" width="2.81640625" customWidth="1"/>
    <col min="4" max="4" width="4.1796875" customWidth="1"/>
    <col min="5" max="5" width="121.6328125" customWidth="1"/>
    <col min="6" max="6" width="15.6328125" customWidth="1"/>
  </cols>
  <sheetData>
    <row r="2" spans="5:5" ht="28.5" x14ac:dyDescent="0.65">
      <c r="E2" s="14" t="s">
        <v>70</v>
      </c>
    </row>
    <row r="3" spans="5:5" ht="21" x14ac:dyDescent="0.5">
      <c r="E3" s="15" t="s">
        <v>72</v>
      </c>
    </row>
    <row r="4" spans="5:5" ht="21" x14ac:dyDescent="0.5">
      <c r="E4" s="15" t="s">
        <v>76</v>
      </c>
    </row>
    <row r="5" spans="5:5" ht="21" x14ac:dyDescent="0.5">
      <c r="E5" s="15" t="s">
        <v>77</v>
      </c>
    </row>
    <row r="6" spans="5:5" ht="21" x14ac:dyDescent="0.5">
      <c r="E6" s="15" t="s">
        <v>73</v>
      </c>
    </row>
    <row r="7" spans="5:5" ht="21" x14ac:dyDescent="0.5">
      <c r="E7" s="15" t="s">
        <v>74</v>
      </c>
    </row>
    <row r="8" spans="5:5" ht="21" x14ac:dyDescent="0.5">
      <c r="E8" s="15" t="s">
        <v>75</v>
      </c>
    </row>
    <row r="9" spans="5:5" ht="21" x14ac:dyDescent="0.5">
      <c r="E9" s="15" t="s">
        <v>71</v>
      </c>
    </row>
    <row r="10" spans="5:5" ht="21" x14ac:dyDescent="0.5">
      <c r="E10" s="15" t="s">
        <v>78</v>
      </c>
    </row>
    <row r="11" spans="5:5" ht="21" x14ac:dyDescent="0.5">
      <c r="E11" s="13"/>
    </row>
    <row r="13" spans="5:5" ht="21" x14ac:dyDescent="0.5">
      <c r="E13" s="58" t="s">
        <v>152</v>
      </c>
    </row>
    <row r="14" spans="5:5" ht="21" x14ac:dyDescent="0.5">
      <c r="E14" s="58" t="s">
        <v>150</v>
      </c>
    </row>
    <row r="15" spans="5:5" ht="21" x14ac:dyDescent="0.5">
      <c r="E15" s="58" t="s">
        <v>151</v>
      </c>
    </row>
    <row r="16" spans="5:5" ht="21" x14ac:dyDescent="0.5">
      <c r="E16" s="58" t="s">
        <v>153</v>
      </c>
    </row>
    <row r="17" spans="5:5" ht="21" x14ac:dyDescent="0.5">
      <c r="E17" s="58" t="s">
        <v>154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DE871-1E36-44D6-825B-5ECB40009D23}">
  <dimension ref="D2:F8"/>
  <sheetViews>
    <sheetView workbookViewId="0">
      <selection activeCell="E16" sqref="E16"/>
    </sheetView>
  </sheetViews>
  <sheetFormatPr defaultRowHeight="14.5" x14ac:dyDescent="0.35"/>
  <cols>
    <col min="1" max="2" width="3.1796875" customWidth="1"/>
    <col min="3" max="3" width="2.81640625" customWidth="1"/>
    <col min="4" max="4" width="33.08984375" style="11" customWidth="1"/>
    <col min="5" max="5" width="32.36328125" customWidth="1"/>
    <col min="6" max="6" width="32" customWidth="1"/>
  </cols>
  <sheetData>
    <row r="2" spans="4:6" x14ac:dyDescent="0.35">
      <c r="D2" s="60" t="s">
        <v>262</v>
      </c>
      <c r="E2" s="59" t="s">
        <v>156</v>
      </c>
    </row>
    <row r="3" spans="4:6" x14ac:dyDescent="0.35">
      <c r="D3" s="11" t="s">
        <v>155</v>
      </c>
      <c r="E3" t="s">
        <v>157</v>
      </c>
    </row>
    <row r="4" spans="4:6" x14ac:dyDescent="0.35">
      <c r="D4" s="11" t="s">
        <v>158</v>
      </c>
      <c r="E4" t="s">
        <v>157</v>
      </c>
      <c r="F4" t="s">
        <v>159</v>
      </c>
    </row>
    <row r="5" spans="4:6" x14ac:dyDescent="0.35">
      <c r="D5" s="11" t="s">
        <v>164</v>
      </c>
      <c r="E5" t="s">
        <v>161</v>
      </c>
      <c r="F5" t="s">
        <v>160</v>
      </c>
    </row>
    <row r="6" spans="4:6" x14ac:dyDescent="0.35">
      <c r="D6" s="11" t="s">
        <v>162</v>
      </c>
      <c r="E6" t="s">
        <v>165</v>
      </c>
      <c r="F6" t="s">
        <v>163</v>
      </c>
    </row>
    <row r="7" spans="4:6" x14ac:dyDescent="0.35">
      <c r="D7" s="11" t="s">
        <v>240</v>
      </c>
    </row>
    <row r="8" spans="4:6" x14ac:dyDescent="0.35">
      <c r="D8" s="11" t="s">
        <v>261</v>
      </c>
      <c r="E8" t="s">
        <v>260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FDFD-A526-4ED5-91E1-C6DF5C553ED0}">
  <dimension ref="B1:E10"/>
  <sheetViews>
    <sheetView workbookViewId="0">
      <selection activeCell="B4" sqref="B4:E4"/>
    </sheetView>
  </sheetViews>
  <sheetFormatPr defaultRowHeight="14.5" x14ac:dyDescent="0.35"/>
  <cols>
    <col min="1" max="1" width="6.1796875" customWidth="1"/>
    <col min="2" max="2" width="21.08984375" style="1" customWidth="1"/>
    <col min="3" max="3" width="22.453125" style="1" customWidth="1"/>
    <col min="4" max="4" width="23.36328125" customWidth="1"/>
    <col min="5" max="5" width="16.453125" customWidth="1"/>
  </cols>
  <sheetData>
    <row r="1" spans="2:5" s="100" customFormat="1" x14ac:dyDescent="0.35">
      <c r="B1" s="99"/>
      <c r="C1" s="99"/>
    </row>
    <row r="2" spans="2:5" s="100" customFormat="1" ht="22" customHeight="1" x14ac:dyDescent="0.35">
      <c r="B2" s="210" t="s">
        <v>178</v>
      </c>
      <c r="C2" s="210"/>
      <c r="D2" s="210"/>
      <c r="E2" s="210"/>
    </row>
    <row r="3" spans="2:5" s="100" customFormat="1" ht="25.5" customHeight="1" x14ac:dyDescent="0.35">
      <c r="B3" s="211" t="s">
        <v>177</v>
      </c>
      <c r="C3" s="211"/>
      <c r="D3" s="211"/>
      <c r="E3" s="211"/>
    </row>
    <row r="4" spans="2:5" s="100" customFormat="1" ht="19.5" customHeight="1" x14ac:dyDescent="0.35">
      <c r="B4" s="212" t="s">
        <v>179</v>
      </c>
      <c r="C4" s="212"/>
      <c r="D4" s="212"/>
      <c r="E4" s="212"/>
    </row>
    <row r="5" spans="2:5" s="100" customFormat="1" x14ac:dyDescent="0.35">
      <c r="B5" s="5" t="s">
        <v>173</v>
      </c>
      <c r="C5" s="102" t="s">
        <v>175</v>
      </c>
      <c r="D5" s="102" t="s">
        <v>174</v>
      </c>
      <c r="E5" s="102" t="s">
        <v>176</v>
      </c>
    </row>
    <row r="6" spans="2:5" s="100" customFormat="1" x14ac:dyDescent="0.35">
      <c r="B6" s="102"/>
      <c r="C6" s="213"/>
      <c r="D6" s="101"/>
      <c r="E6" s="101"/>
    </row>
    <row r="7" spans="2:5" x14ac:dyDescent="0.35">
      <c r="B7" s="12"/>
      <c r="C7" s="214"/>
      <c r="D7" s="3"/>
      <c r="E7" s="3"/>
    </row>
    <row r="8" spans="2:5" x14ac:dyDescent="0.35">
      <c r="B8" s="12"/>
      <c r="C8" s="214"/>
      <c r="D8" s="3"/>
      <c r="E8" s="3"/>
    </row>
    <row r="9" spans="2:5" x14ac:dyDescent="0.35">
      <c r="B9" s="12"/>
      <c r="C9" s="214"/>
      <c r="D9" s="3"/>
      <c r="E9" s="3"/>
    </row>
    <row r="10" spans="2:5" x14ac:dyDescent="0.35">
      <c r="B10" s="12"/>
      <c r="C10" s="215"/>
      <c r="D10" s="3"/>
      <c r="E10" s="3"/>
    </row>
  </sheetData>
  <mergeCells count="4">
    <mergeCell ref="B2:E2"/>
    <mergeCell ref="B3:E3"/>
    <mergeCell ref="B4:E4"/>
    <mergeCell ref="C6:C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2C6E-A704-4AF1-8C14-24CD197F296D}">
  <dimension ref="A1:D5"/>
  <sheetViews>
    <sheetView zoomScale="85" zoomScaleNormal="85" workbookViewId="0">
      <selection activeCell="C7" sqref="C7"/>
    </sheetView>
  </sheetViews>
  <sheetFormatPr defaultRowHeight="58" customHeight="1" x14ac:dyDescent="0.35"/>
  <cols>
    <col min="1" max="1" width="8.7265625" customWidth="1"/>
    <col min="2" max="2" width="13.36328125" customWidth="1"/>
    <col min="3" max="3" width="63.54296875" customWidth="1"/>
    <col min="4" max="4" width="43.1796875" customWidth="1"/>
  </cols>
  <sheetData>
    <row r="1" spans="1:4" ht="14.5" x14ac:dyDescent="0.35">
      <c r="A1" s="163" t="s">
        <v>249</v>
      </c>
      <c r="B1" s="163" t="s">
        <v>250</v>
      </c>
      <c r="C1" s="163" t="s">
        <v>251</v>
      </c>
      <c r="D1" s="163" t="s">
        <v>241</v>
      </c>
    </row>
    <row r="2" spans="1:4" ht="43.5" x14ac:dyDescent="0.35">
      <c r="A2" s="164" t="s">
        <v>242</v>
      </c>
      <c r="B2" s="113" t="s">
        <v>243</v>
      </c>
      <c r="C2" s="113" t="s">
        <v>252</v>
      </c>
      <c r="D2" s="113" t="s">
        <v>253</v>
      </c>
    </row>
    <row r="3" spans="1:4" ht="29" x14ac:dyDescent="0.35">
      <c r="A3" s="164" t="s">
        <v>244</v>
      </c>
      <c r="B3" s="113" t="s">
        <v>245</v>
      </c>
      <c r="C3" s="113" t="s">
        <v>254</v>
      </c>
      <c r="D3" s="113" t="s">
        <v>255</v>
      </c>
    </row>
    <row r="4" spans="1:4" ht="14.5" x14ac:dyDescent="0.35">
      <c r="A4" s="164" t="s">
        <v>246</v>
      </c>
      <c r="B4" s="113" t="s">
        <v>66</v>
      </c>
      <c r="C4" s="113" t="s">
        <v>256</v>
      </c>
      <c r="D4" s="113" t="s">
        <v>257</v>
      </c>
    </row>
    <row r="5" spans="1:4" ht="58" customHeight="1" x14ac:dyDescent="0.35">
      <c r="A5" s="164" t="s">
        <v>247</v>
      </c>
      <c r="B5" s="113" t="s">
        <v>248</v>
      </c>
      <c r="C5" s="113" t="s">
        <v>258</v>
      </c>
      <c r="D5" s="113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USTU-KPMG-Split</vt:lpstr>
      <vt:lpstr>Program</vt:lpstr>
      <vt:lpstr>Sheet5</vt:lpstr>
      <vt:lpstr>Sheet4</vt:lpstr>
      <vt:lpstr>Follow Up Actions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Raina</dc:creator>
  <cp:lastModifiedBy>Anil Raina</cp:lastModifiedBy>
  <cp:lastPrinted>2026-05-05T11:07:25Z</cp:lastPrinted>
  <dcterms:created xsi:type="dcterms:W3CDTF">2026-04-30T06:13:16Z</dcterms:created>
  <dcterms:modified xsi:type="dcterms:W3CDTF">2026-06-09T06:37:16Z</dcterms:modified>
</cp:coreProperties>
</file>